
<file path=[Content_Types].xml><?xml version="1.0" encoding="utf-8"?>
<Types xmlns="http://schemas.openxmlformats.org/package/2006/content-types">
  <Default Extension="0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GitHub\HOMAG-Connect\Applications\MaterialAssist\Samples\Statistics\Excel\Templates\DisposalCandidates\"/>
    </mc:Choice>
  </mc:AlternateContent>
  <xr:revisionPtr revIDLastSave="0" documentId="8_{480FC438-4E00-4E78-B85A-E1497395FCA1}" xr6:coauthVersionLast="47" xr6:coauthVersionMax="47" xr10:uidLastSave="{00000000-0000-0000-0000-000000000000}"/>
  <bookViews>
    <workbookView xWindow="-108" yWindow="-108" windowWidth="46296" windowHeight="25416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5" i="2"/>
  <c r="D4" i="2"/>
  <c r="D6" i="2"/>
  <c r="D7" i="2"/>
  <c r="D8" i="2"/>
  <c r="D9" i="2"/>
  <c r="D10" i="2"/>
  <c r="D11" i="2"/>
  <c r="N2" i="2"/>
  <c r="N3" i="2"/>
  <c r="N5" i="2"/>
  <c r="N4" i="2"/>
  <c r="N6" i="2"/>
  <c r="N7" i="2"/>
  <c r="N8" i="2"/>
  <c r="N9" i="2"/>
  <c r="N10" i="2"/>
  <c r="N11" i="2"/>
  <c r="L2" i="2"/>
  <c r="L3" i="2"/>
  <c r="L5" i="2"/>
  <c r="L4" i="2"/>
  <c r="L6" i="2"/>
  <c r="L7" i="2"/>
  <c r="L8" i="2"/>
  <c r="L9" i="2"/>
  <c r="L10" i="2"/>
  <c r="L11" i="2"/>
  <c r="C2" i="2"/>
  <c r="C3" i="2"/>
  <c r="C5" i="2"/>
  <c r="C4" i="2"/>
  <c r="C6" i="2"/>
  <c r="C7" i="2"/>
  <c r="C8" i="2"/>
  <c r="C9" i="2"/>
  <c r="C10" i="2"/>
  <c r="C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BoardEntities" description="Verbindung mit der Abfrage 'BoardEntities' in der Arbeitsmappe." type="5" refreshedVersion="8" background="1" saveData="1">
    <dbPr connection="Provider=Microsoft.Mashup.OleDb.1;Data Source=$Workbook$;Location=BoardEntities;Extended Properties=&quot;&quot;" command="SELECT * FROM [BoardEntitie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<sst xmlns="http://schemas.openxmlformats.org/spreadsheetml/2006/main" count="4" uniqueCount="4">
  <si>
    <t>QRCode------</t>
  </si>
  <si>
    <t>Preview</t>
  </si>
  <si>
    <t>Age (Month)</t>
  </si>
  <si>
    <t>Value /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</si>
</sst>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4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</cellXfs>
  <cellStyles count="2">
    <cellStyle name="Standard" xfId="0" builtinId="0"/>
    <cellStyle name="Währung" xfId="1" builtinId="4"/>
  </cellStyles>
  <dxfs count="20"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7" formatCode="dd/mm/yyyy\ h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adjustColumnWidth="0" connectionId="1" xr16:uid="{381FDDE4-FCE9-4D70-8BEF-8A46F813D432}" autoFormatId="16" applyNumberFormats="0" applyBorderFormats="0" applyFontFormats="0" applyPatternFormats="0" applyAlignmentFormats="0" applyWidthHeightFormats="0">
  <queryTableRefresh nextId="68">
    <queryTableFields count="18">
      <queryTableField id="33" name="Thumbnail" tableColumnId="2"/>
      <queryTableField id="1" name="Id" tableColumnId="1"/>
      <queryTableField id="21" dataBound="0" tableColumnId="16"/>
      <queryTableField id="20" dataBound="0" tableColumnId="15"/>
      <queryTableField id="34" name="Material code" tableColumnId="3"/>
      <queryTableField id="35" name="Board code" tableColumnId="4"/>
      <queryTableField id="36" name="Length" tableColumnId="5"/>
      <queryTableField id="37" name="Width" tableColumnId="6"/>
      <queryTableField id="38" name="Quantity" tableColumnId="7"/>
      <queryTableField id="39" name="Management type" tableColumnId="8"/>
      <queryTableField id="40" name="Creation date" tableColumnId="9"/>
      <queryTableField id="26" dataBound="0" tableColumnId="18"/>
      <queryTableField id="41" name="Material last used" tableColumnId="10"/>
      <queryTableField id="22" dataBound="0" tableColumnId="17"/>
      <queryTableField id="42" name="Costs / m²" tableColumnId="11"/>
      <queryTableField id="44" name="Storage location" tableColumnId="14"/>
      <queryTableField id="43" name="Notes" tableColumnId="12"/>
      <queryTableField id="13" name="QR-Code" tableColumnId="13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6.png"/><Relationship Id="rId18" Type="http://schemas.openxmlformats.org/officeDocument/2006/relationships/image" Target="../media/image8.0"/><Relationship Id="rId26" Type="http://schemas.openxmlformats.org/officeDocument/2006/relationships/hyperlink" Target="https://intellisettingscdn.homag.cloud/62b8fee0-1b35-41c1-b03a-b947304a0d58/materials/faedaeba-13cf-496b-a76c-f8a4151f6d9c/Picture/ThumbnailSquare.png?sv=2024-08-04&amp;se=2024-12-23T00%3A00%3A00Z&amp;sr=c&amp;sp=r&amp;sig=71BchOhz1wXLcsyL7SA%2B7gahL3eJYEGspgC55612J9w%3D" TargetMode="External"/><Relationship Id="rId3" Type="http://schemas.openxmlformats.org/officeDocument/2006/relationships/hyperlink" Target="https://intellisettingscdn.homag.cloud/62b8fee0-1b35-41c1-b03a-b947304a0d58/materials/2f9dd604-8af0-4dde-89cf-d06588b634a2/Picture/ThumbnailSquare.png?sv=2024-08-04&amp;se=2024-12-23T00%3A00%3A00Z&amp;sr=c&amp;sp=r&amp;sig=71BchOhz1wXLcsyL7SA%2B7gahL3eJYEGspgC55612J9w%3D" TargetMode="External"/><Relationship Id="rId21" Type="http://schemas.openxmlformats.org/officeDocument/2006/relationships/hyperlink" Target="https://api.qrserver.com/v1/create-qr-code/?data=XP2_Weiss_08_998.4_2070.0%2322199" TargetMode="External"/><Relationship Id="rId7" Type="http://schemas.openxmlformats.org/officeDocument/2006/relationships/hyperlink" Target="https://intellisettingscdn.homag.cloud/62b8fee0-1b35-41c1-b03a-b947304a0d58/materials/bfe74c0a-55b5-4cfa-b735-c93f65ce7390/Picture/ThumbnailSquare.png?sv=2024-08-04&amp;se=2024-12-23T00%3A00%3A00Z&amp;sr=c&amp;sp=r&amp;sig=71BchOhz1wXLcsyL7SA%2B7gahL3eJYEGspgC55612J9w%3D" TargetMode="External"/><Relationship Id="rId12" Type="http://schemas.openxmlformats.org/officeDocument/2006/relationships/hyperlink" Target="https://intellisettingscdn.homag.cloud/62b8fee0-1b35-41c1-b03a-b947304a0d58/materials/c8a2a5f0-4d6b-4445-b6ca-fcc6aea6dfb6/Picture/ThumbnailSquare.png?sv=2024-08-04&amp;se=2024-12-23T00%3A00%3A00Z&amp;sr=c&amp;sp=r&amp;sig=71BchOhz1wXLcsyL7SA%2B7gahL3eJYEGspgC55612J9w%3D" TargetMode="External"/><Relationship Id="rId17" Type="http://schemas.openxmlformats.org/officeDocument/2006/relationships/hyperlink" Target="https://api.qrserver.com/v1/create-qr-code/?data=XP2_Weiss_08_998.4_2070.0%2322197" TargetMode="External"/><Relationship Id="rId25" Type="http://schemas.openxmlformats.org/officeDocument/2006/relationships/hyperlink" Target="https://api.qrserver.com/v1/create-qr-code/?data=HPL_Matt%20white_0.8_3050_1300%2322201" TargetMode="External"/><Relationship Id="rId2" Type="http://schemas.openxmlformats.org/officeDocument/2006/relationships/image" Target="../media/image1.0"/><Relationship Id="rId16" Type="http://schemas.openxmlformats.org/officeDocument/2006/relationships/image" Target="../media/image7.png"/><Relationship Id="rId20" Type="http://schemas.openxmlformats.org/officeDocument/2006/relationships/image" Target="../media/image9.0"/><Relationship Id="rId1" Type="http://schemas.openxmlformats.org/officeDocument/2006/relationships/hyperlink" Target="https://api.qrserver.com/v1/create-qr-code/?data=XP2_White_19_1567.8_2070.0%2322187" TargetMode="External"/><Relationship Id="rId6" Type="http://schemas.openxmlformats.org/officeDocument/2006/relationships/image" Target="../media/image3.0"/><Relationship Id="rId11" Type="http://schemas.openxmlformats.org/officeDocument/2006/relationships/hyperlink" Target="https://api.qrserver.com/v1/create-qr-code/?data=XP2_Gold%20Craft%20Oak_19.0_1859.6_2070.0%2322189" TargetMode="External"/><Relationship Id="rId24" Type="http://schemas.openxmlformats.org/officeDocument/2006/relationships/image" Target="../media/image11.0"/><Relationship Id="rId5" Type="http://schemas.openxmlformats.org/officeDocument/2006/relationships/hyperlink" Target="https://api.qrserver.com/v1/create-qr-code/?data=XP2_Graphite_19_2800.0_1452.0%2322188" TargetMode="External"/><Relationship Id="rId15" Type="http://schemas.openxmlformats.org/officeDocument/2006/relationships/hyperlink" Target="https://intellisettingscdn.homag.cloud/62b8fee0-1b35-41c1-b03a-b947304a0d58/materials/d88aa65e-3de3-43cd-8115-40c0bbb8c487/Picture/ThumbnailSquare.png?sv=2024-08-04&amp;se=2024-12-23T00%3A00%3A00Z&amp;sr=c&amp;sp=r&amp;sig=71BchOhz1wXLcsyL7SA%2B7gahL3eJYEGspgC55612J9w%3D" TargetMode="External"/><Relationship Id="rId23" Type="http://schemas.openxmlformats.org/officeDocument/2006/relationships/hyperlink" Target="https://api.qrserver.com/v1/create-qr-code/?data=XP2_Weiss_08_998.4_2070.0%2322200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api.qrserver.com/v1/create-qr-code/?data=XP2_Weiss_08_998.4_2070.0%2322198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P2_White_19_2800_2070%2322190" TargetMode="External"/><Relationship Id="rId14" Type="http://schemas.openxmlformats.org/officeDocument/2006/relationships/hyperlink" Target="https://api.qrserver.com/v1/create-qr-code/?data=XP2_Icy%20White_19_718.2_2070.0%2322196" TargetMode="External"/><Relationship Id="rId22" Type="http://schemas.openxmlformats.org/officeDocument/2006/relationships/image" Target="../media/image10.0"/><Relationship Id="rId27" Type="http://schemas.openxmlformats.org/officeDocument/2006/relationships/image" Target="../media/image12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</webImageSrd>
  <webImageSrd>
    <address r:id="rId12"/>
    <blip r:id="rId13"/>
  </webImageSrd>
  <webImageSrd>
    <address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</webImageSrd>
  <webImageSrd>
    <address r:id="rId26"/>
    <blip r:id="rId27"/>
  </webImageSrd>
</webImagesSrd>
</file>

<file path=xl/richData/rdrichvalue.xml><?xml version="1.0" encoding="utf-8"?>
<rvData xmlns="http://schemas.microsoft.com/office/spreadsheetml/2017/richdata" count="15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-1</v>
    <v>1</v>
    <v>0</v>
    <v>100</v>
    <v>3</v>
    <v>100</v>
  </rv>
  <rv s="0">
    <v>6</v>
    <v>1</v>
    <v>0</v>
    <v>100</v>
    <v>3</v>
    <v>100</v>
  </rv>
  <rv s="0">
    <v>-1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  <rv s="0">
    <v>14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BoardEntities" displayName="BoardEntities" ref="A1:R11" tableType="queryTable" totalsRowShown="0" headerRowDxfId="19" dataDxfId="18">
  <autoFilter ref="A1:R11" xr:uid="{B729DAA9-8EAF-4115-8775-23F1E0908650}"/>
  <sortState xmlns:xlrd2="http://schemas.microsoft.com/office/spreadsheetml/2017/richdata2" ref="A2:R11">
    <sortCondition ref="M2:M11"/>
    <sortCondition descending="1" ref="N2:N11"/>
  </sortState>
  <tableColumns count="18">
    <tableColumn id="2" xr3:uid="{971C39D4-E671-40E0-B9E6-3CE0C5CBBA20}" uniqueName="2" name="Thumbnail" queryTableFieldId="33" dataDxfId="17"/>
    <tableColumn id="1" xr3:uid="{DFE17ADA-1352-450C-A333-EC8243BAF047}" uniqueName="1" name="Id" queryTableFieldId="1" dataDxfId="4"/>
    <tableColumn id="16" xr3:uid="{1359B537-2C09-40C3-B05C-762E9DBD1C28}" uniqueName="16" name="QRCode------" queryTableFieldId="21" dataDxfId="3">
      <calculatedColumnFormula>IF(BoardEntities[[#This Row],[QR-Code]]&lt;&gt;"",_xlfn.IMAGE(BoardEntities[[#This Row],[QR-Code]],"",3,100,100),"")</calculatedColumnFormula>
    </tableColumn>
    <tableColumn id="15" xr3:uid="{44E5FB25-B070-42D3-BB70-844989B7FD71}" uniqueName="15" name="Preview" queryTableFieldId="20" dataDxfId="16">
      <calculatedColumnFormula>IF(BoardEntities[[#This Row],[Thumbnail]]&lt;&gt;"",_xlfn.IMAGE(BoardEntities[[#This Row],[Thumbnail]],"",3,100,100),"")</calculatedColumnFormula>
    </tableColumn>
    <tableColumn id="3" xr3:uid="{A987E793-5F71-4556-BDC3-0F4A87C3E8F8}" uniqueName="3" name="Material code" queryTableFieldId="34" dataDxfId="15"/>
    <tableColumn id="4" xr3:uid="{36BF42DD-EF07-4502-A62D-65F10FD36768}" uniqueName="4" name="Board code" queryTableFieldId="35" dataDxfId="14"/>
    <tableColumn id="5" xr3:uid="{88989E39-2D0D-439E-8FC9-F61EB93C2564}" uniqueName="5" name="Length" queryTableFieldId="36" dataDxfId="13"/>
    <tableColumn id="6" xr3:uid="{270C173B-9543-4613-BC71-0B615D4BA1C9}" uniqueName="6" name="Width" queryTableFieldId="37" dataDxfId="12"/>
    <tableColumn id="7" xr3:uid="{C844DFB8-0EFC-44BF-B159-EC21EB7654D2}" uniqueName="7" name="Quantity" queryTableFieldId="38" dataDxfId="11"/>
    <tableColumn id="8" xr3:uid="{83558284-806F-418F-9488-987C4CB6D8E0}" uniqueName="8" name="Management type" queryTableFieldId="39" dataDxfId="10"/>
    <tableColumn id="9" xr3:uid="{C4E867B3-03E1-4DF0-AE0F-AE0826BCE1C6}" uniqueName="9" name="Creation date" queryTableFieldId="40" dataDxfId="9"/>
    <tableColumn id="18" xr3:uid="{3A8DAA38-16E7-4049-B517-A3590A037B2C}" uniqueName="18" name="Value / Board" queryTableFieldId="26" dataDxfId="1">
      <calculatedColumnFormula>BoardEntities[[#This Row],[Length]]*BoardEntities[[#This Row],[Width]]*BoardEntities[[#This Row],[Costs / m²]]/1000/1000</calculatedColumnFormula>
    </tableColumn>
    <tableColumn id="10" xr3:uid="{8A4D11C4-EE34-4607-925B-F04632BD0E03}" uniqueName="10" name="Material last used" queryTableFieldId="41" dataDxfId="2"/>
    <tableColumn id="17" xr3:uid="{FE895E4C-8ABA-4BC6-A905-483B06734022}" uniqueName="17" name="Age (Month)" queryTableFieldId="22" dataDxfId="8">
      <calculatedColumnFormula>DATEDIF(BoardEntities[[#This Row],[Creation date]],TODAY(),"M")</calculatedColumnFormula>
    </tableColumn>
    <tableColumn id="11" xr3:uid="{C939CC90-C4D2-48F5-A937-013E00B4AE3A}" uniqueName="11" name="Costs / m²" queryTableFieldId="42" dataDxfId="7"/>
    <tableColumn id="14" xr3:uid="{731A7707-CD30-4522-AA8F-B08D3D614ADE}" uniqueName="14" name="Storage location" queryTableFieldId="44" dataDxfId="0"/>
    <tableColumn id="12" xr3:uid="{D345DA86-4EED-4B61-9448-3A31357514A0}" uniqueName="12" name="Notes" queryTableFieldId="43" dataDxfId="6"/>
    <tableColumn id="13" xr3:uid="{3D66A0A8-61F0-42CA-B54A-301DEA40E397}" uniqueName="13" name="QR-Code" queryTableFieldId="13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sheetPr>
    <pageSetUpPr fitToPage="1"/>
  </sheetPr>
  <dimension ref="A1:AL1001"/>
  <sheetViews>
    <sheetView tabSelected="1" topLeftCell="B1" zoomScale="85" zoomScaleNormal="85" workbookViewId="0">
      <pane ySplit="1" topLeftCell="A2" activePane="bottomLeft" state="frozen"/>
      <selection pane="bottomLeft" activeCell="T7" sqref="T7"/>
    </sheetView>
  </sheetViews>
  <sheetFormatPr baseColWidth="10" defaultColWidth="11.33203125" defaultRowHeight="91.8" x14ac:dyDescent="0.3"/>
  <cols>
    <col min="1" max="1" width="80.88671875" style="1" hidden="1" customWidth="1"/>
    <col min="2" max="2" width="6.109375" style="1" bestFit="1" customWidth="1"/>
    <col min="3" max="3" width="15.77734375" style="1" bestFit="1" customWidth="1"/>
    <col min="4" max="4" width="13.33203125" style="5" bestFit="1" customWidth="1"/>
    <col min="5" max="5" width="21.44140625" bestFit="1" customWidth="1"/>
    <col min="6" max="6" width="36.44140625" bestFit="1" customWidth="1"/>
    <col min="7" max="7" width="9.6640625" bestFit="1" customWidth="1"/>
    <col min="8" max="8" width="9.109375" style="1" bestFit="1" customWidth="1"/>
    <col min="9" max="9" width="11.44140625" style="1" bestFit="1" customWidth="1"/>
    <col min="10" max="10" width="9.77734375" style="1" customWidth="1"/>
    <col min="11" max="11" width="15.6640625" style="1" bestFit="1" customWidth="1"/>
    <col min="12" max="12" width="16.5546875" style="1" bestFit="1" customWidth="1"/>
    <col min="13" max="13" width="19.5546875" style="1" bestFit="1" customWidth="1"/>
    <col min="14" max="14" width="17.44140625" style="1" bestFit="1" customWidth="1"/>
    <col min="15" max="15" width="0" hidden="1" customWidth="1"/>
    <col min="16" max="16" width="18.44140625" style="1" bestFit="1" customWidth="1"/>
    <col min="18" max="18" width="0" hidden="1" customWidth="1"/>
    <col min="19" max="19" width="12.109375" style="1" bestFit="1" customWidth="1"/>
    <col min="20" max="20" width="14.88671875" style="1" bestFit="1" customWidth="1"/>
    <col min="21" max="21" width="8.44140625" style="1" bestFit="1" customWidth="1"/>
    <col min="22" max="22" width="26.88671875" style="1" bestFit="1" customWidth="1"/>
    <col min="23" max="23" width="80.88671875" style="1" hidden="1" customWidth="1"/>
    <col min="25" max="30" width="11.33203125" style="1"/>
    <col min="31" max="31" width="11.33203125" style="4"/>
    <col min="32" max="33" width="11.33203125" style="1"/>
    <col min="34" max="34" width="11.33203125" style="5"/>
    <col min="35" max="35" width="11.33203125" style="9"/>
    <col min="36" max="37" width="11.33203125" style="1"/>
    <col min="38" max="38" width="11.33203125" style="6"/>
    <col min="39" max="16384" width="11.33203125" style="1"/>
  </cols>
  <sheetData>
    <row r="1" spans="1:38" ht="14.4" x14ac:dyDescent="0.3">
      <c r="A1" s="1"/>
      <c r="B1" s="1"/>
      <c r="C1" s="4" t="s">
        <v>0</v>
      </c>
      <c r="D1" s="5" t="s">
        <v>1</v>
      </c>
      <c r="E1" s="1"/>
      <c r="F1" s="1"/>
      <c r="G1" s="1"/>
      <c r="H1" s="1"/>
      <c r="I1" s="1"/>
      <c r="J1" s="1"/>
      <c r="K1" s="1"/>
      <c r="L1" s="1" t="s">
        <v>3</v>
      </c>
      <c r="M1" s="1"/>
      <c r="N1" s="7" t="s">
        <v>2</v>
      </c>
      <c r="O1" s="1"/>
      <c r="P1" s="1"/>
      <c r="Q1" s="1"/>
      <c r="R1" s="1"/>
      <c r="X1" s="1"/>
      <c r="AE1" s="1"/>
      <c r="AH1" s="1"/>
      <c r="AI1" s="1"/>
      <c r="AL1" s="1"/>
    </row>
    <row r="2" spans="1:38" x14ac:dyDescent="0.3">
      <c r="A2" s="1"/>
      <c r="B2" s="1"/>
      <c r="C2" s="6" t="e" vm="1">
        <f>IF(BoardEntities[[#This Row],[QR-Code]]&lt;&gt;"",_xlfn.IMAGE(BoardEntities[[#This Row],[QR-Code]],"",3,100,100),"")</f>
        <v>#VALUE!</v>
      </c>
      <c r="D2" s="5" t="e" vm="2">
        <f>IF(BoardEntities[[#This Row],[Thumbnail]]&lt;&gt;"",_xlfn.IMAGE(BoardEntities[[#This Row],[Thumbnail]],"",3,100,100),"")</f>
        <v>#VALUE!</v>
      </c>
      <c r="E2" s="1"/>
      <c r="F2" s="1"/>
      <c r="G2" s="1"/>
      <c r="H2" s="1"/>
      <c r="I2" s="1"/>
      <c r="J2" s="1"/>
      <c r="K2" s="8"/>
      <c r="L2" s="3">
        <f>BoardEntities[[#This Row],[Length]]*BoardEntities[[#This Row],[Width]]*BoardEntities[[#This Row],[Costs / m²]]/1000/1000</f>
        <v>29.208114000000002</v>
      </c>
      <c r="M2" s="2"/>
      <c r="N2" s="7">
        <f ca="1">DATEDIF(BoardEntities[[#This Row],[Creation date]],TODAY(),"M")</f>
        <v>2</v>
      </c>
      <c r="O2" s="3"/>
      <c r="P2" s="1"/>
      <c r="Q2" s="1"/>
      <c r="R2" s="1"/>
      <c r="X2" s="1"/>
      <c r="AE2" s="1"/>
      <c r="AH2" s="1"/>
      <c r="AI2" s="1"/>
      <c r="AL2" s="1"/>
    </row>
    <row r="3" spans="1:38" x14ac:dyDescent="0.3">
      <c r="A3" s="1"/>
      <c r="B3" s="1"/>
      <c r="C3" s="6" t="e" vm="3">
        <f>IF(BoardEntities[[#This Row],[QR-Code]]&lt;&gt;"",_xlfn.IMAGE(BoardEntities[[#This Row],[QR-Code]],"",3,100,100),"")</f>
        <v>#VALUE!</v>
      </c>
      <c r="D3" s="5" t="e" vm="4">
        <f>IF(BoardEntities[[#This Row],[Thumbnail]]&lt;&gt;"",_xlfn.IMAGE(BoardEntities[[#This Row],[Thumbnail]],"",3,100,100),"")</f>
        <v>#VALUE!</v>
      </c>
      <c r="E3" s="1"/>
      <c r="F3" s="1"/>
      <c r="G3" s="1"/>
      <c r="H3" s="1"/>
      <c r="I3" s="1"/>
      <c r="J3" s="1"/>
      <c r="K3" s="8"/>
      <c r="L3" s="3">
        <f>BoardEntities[[#This Row],[Length]]*BoardEntities[[#This Row],[Width]]*BoardEntities[[#This Row],[Costs / m²]]/1000/1000</f>
        <v>45.53472</v>
      </c>
      <c r="M3" s="2"/>
      <c r="N3" s="7">
        <f ca="1">DATEDIF(BoardEntities[[#This Row],[Creation date]],TODAY(),"M")</f>
        <v>2</v>
      </c>
      <c r="O3" s="3"/>
      <c r="Q3" s="1"/>
      <c r="R3" s="1"/>
      <c r="X3" s="1"/>
      <c r="AE3" s="1"/>
      <c r="AH3" s="1"/>
      <c r="AI3" s="1"/>
      <c r="AL3" s="1"/>
    </row>
    <row r="4" spans="1:38" x14ac:dyDescent="0.3">
      <c r="A4" s="1"/>
      <c r="B4" s="1"/>
      <c r="C4" s="6" t="e" vm="5">
        <f>IF(BoardEntities[[#This Row],[QR-Code]]&lt;&gt;"",_xlfn.IMAGE(BoardEntities[[#This Row],[QR-Code]],"",3,100,100),"")</f>
        <v>#VALUE!</v>
      </c>
      <c r="D4" s="5" t="e" vm="2">
        <f>IF(BoardEntities[[#This Row],[Thumbnail]]&lt;&gt;"",_xlfn.IMAGE(BoardEntities[[#This Row],[Thumbnail]],"",3,100,100),"")</f>
        <v>#VALUE!</v>
      </c>
      <c r="E4" s="1"/>
      <c r="F4" s="1"/>
      <c r="G4" s="1"/>
      <c r="H4" s="1"/>
      <c r="I4" s="1"/>
      <c r="J4" s="1"/>
      <c r="K4" s="8"/>
      <c r="L4" s="3">
        <f>BoardEntities[[#This Row],[Length]]*BoardEntities[[#This Row],[Width]]*BoardEntities[[#This Row],[Costs / m²]]/1000/1000</f>
        <v>52.164000000000001</v>
      </c>
      <c r="M4" s="2"/>
      <c r="N4" s="7">
        <f ca="1">DATEDIF(BoardEntities[[#This Row],[Creation date]],TODAY(),"M")</f>
        <v>2</v>
      </c>
      <c r="O4" s="3"/>
      <c r="P4" s="1"/>
      <c r="Q4" s="1"/>
      <c r="R4" s="1"/>
      <c r="X4" s="1"/>
      <c r="AE4" s="1"/>
      <c r="AH4" s="1"/>
      <c r="AI4" s="1"/>
      <c r="AL4" s="1"/>
    </row>
    <row r="5" spans="1:38" x14ac:dyDescent="0.3">
      <c r="A5" s="1"/>
      <c r="B5" s="1"/>
      <c r="C5" s="6" t="e" vm="6">
        <f>IF(BoardEntities[[#This Row],[QR-Code]]&lt;&gt;"",_xlfn.IMAGE(BoardEntities[[#This Row],[QR-Code]],"",3,100,100),"")</f>
        <v>#VALUE!</v>
      </c>
      <c r="D5" s="5" t="e" vm="7">
        <f>IF(BoardEntities[[#This Row],[Thumbnail]]&lt;&gt;"",_xlfn.IMAGE(BoardEntities[[#This Row],[Thumbnail]],"",3,100,100),"")</f>
        <v>#VALUE!</v>
      </c>
      <c r="E5" s="1"/>
      <c r="F5" s="1"/>
      <c r="G5" s="1"/>
      <c r="H5" s="1"/>
      <c r="I5" s="1"/>
      <c r="J5" s="1"/>
      <c r="K5" s="8"/>
      <c r="L5" s="3">
        <f>BoardEntities[[#This Row],[Length]]*BoardEntities[[#This Row],[Width]]*BoardEntities[[#This Row],[Costs / m²]]/1000/1000</f>
        <v>119.33053200000001</v>
      </c>
      <c r="M5" s="2"/>
      <c r="N5" s="7">
        <f ca="1">DATEDIF(BoardEntities[[#This Row],[Creation date]],TODAY(),"M")</f>
        <v>2</v>
      </c>
      <c r="O5" s="3"/>
      <c r="P5" s="1"/>
      <c r="Q5" s="1"/>
      <c r="R5" s="1"/>
      <c r="X5" s="1"/>
      <c r="AE5" s="1"/>
      <c r="AH5" s="1"/>
      <c r="AI5" s="1"/>
      <c r="AL5" s="1"/>
    </row>
    <row r="6" spans="1:38" x14ac:dyDescent="0.3">
      <c r="A6" s="1"/>
      <c r="B6" s="1"/>
      <c r="C6" s="6" t="e" vm="8">
        <f>IF(BoardEntities[[#This Row],[QR-Code]]&lt;&gt;"",_xlfn.IMAGE(BoardEntities[[#This Row],[QR-Code]],"",3,100,100),"")</f>
        <v>#VALUE!</v>
      </c>
      <c r="D6" s="5" t="e" vm="9">
        <f>IF(BoardEntities[[#This Row],[Thumbnail]]&lt;&gt;"",_xlfn.IMAGE(BoardEntities[[#This Row],[Thumbnail]],"",3,100,100),"")</f>
        <v>#VALUE!</v>
      </c>
      <c r="E6" s="1"/>
      <c r="F6" s="1"/>
      <c r="G6" s="1"/>
      <c r="H6" s="1"/>
      <c r="I6" s="1"/>
      <c r="J6" s="1"/>
      <c r="K6" s="8"/>
      <c r="L6" s="3">
        <f>BoardEntities[[#This Row],[Length]]*BoardEntities[[#This Row],[Width]]*BoardEntities[[#This Row],[Costs / m²]]/1000/1000</f>
        <v>18.434757600000001</v>
      </c>
      <c r="M6" s="2"/>
      <c r="N6" s="7">
        <f ca="1">DATEDIF(BoardEntities[[#This Row],[Creation date]],TODAY(),"M")</f>
        <v>1</v>
      </c>
      <c r="O6" s="3"/>
      <c r="Q6" s="1"/>
      <c r="R6" s="1"/>
      <c r="X6" s="1"/>
      <c r="AE6" s="1"/>
      <c r="AH6" s="1"/>
      <c r="AI6" s="1"/>
      <c r="AL6" s="1"/>
    </row>
    <row r="7" spans="1:38" x14ac:dyDescent="0.3">
      <c r="B7" s="1"/>
      <c r="C7" s="6" t="e" vm="10">
        <f>IF(BoardEntities[[#This Row],[QR-Code]]&lt;&gt;"",_xlfn.IMAGE(BoardEntities[[#This Row],[QR-Code]],"",3,100,100),"")</f>
        <v>#VALUE!</v>
      </c>
      <c r="D7" s="5" t="str">
        <f>IF(BoardEntities[[#This Row],[Thumbnail]]&lt;&gt;"",_xlfn.IMAGE(BoardEntities[[#This Row],[Thumbnail]],"",3,100,100),"")</f>
        <v/>
      </c>
      <c r="E7" s="1"/>
      <c r="F7" s="1"/>
      <c r="G7" s="1"/>
      <c r="H7" s="1"/>
      <c r="I7" s="1"/>
      <c r="J7" s="1"/>
      <c r="K7" s="8"/>
      <c r="L7" s="3">
        <f>BoardEntities[[#This Row],[Length]]*BoardEntities[[#This Row],[Width]]*BoardEntities[[#This Row],[Costs / m²]]/1000/1000</f>
        <v>0</v>
      </c>
      <c r="M7" s="2"/>
      <c r="N7" s="7">
        <f ca="1">DATEDIF(BoardEntities[[#This Row],[Creation date]],TODAY(),"M")</f>
        <v>1</v>
      </c>
      <c r="O7" s="3"/>
      <c r="Q7" s="1"/>
      <c r="R7" s="1"/>
      <c r="X7" s="1"/>
      <c r="AE7" s="1"/>
      <c r="AH7" s="1"/>
      <c r="AI7" s="1"/>
      <c r="AL7" s="1"/>
    </row>
    <row r="8" spans="1:38" x14ac:dyDescent="0.3">
      <c r="B8" s="1"/>
      <c r="C8" s="6" t="e" vm="11">
        <f>IF(BoardEntities[[#This Row],[QR-Code]]&lt;&gt;"",_xlfn.IMAGE(BoardEntities[[#This Row],[QR-Code]],"",3,100,100),"")</f>
        <v>#VALUE!</v>
      </c>
      <c r="D8" s="5" t="str">
        <f>IF(BoardEntities[[#This Row],[Thumbnail]]&lt;&gt;"",_xlfn.IMAGE(BoardEntities[[#This Row],[Thumbnail]],"",3,100,100),"")</f>
        <v/>
      </c>
      <c r="E8" s="1"/>
      <c r="F8" s="1"/>
      <c r="G8" s="1"/>
      <c r="H8" s="1"/>
      <c r="I8" s="1"/>
      <c r="J8" s="1"/>
      <c r="K8" s="8"/>
      <c r="L8" s="3">
        <f>BoardEntities[[#This Row],[Length]]*BoardEntities[[#This Row],[Width]]*BoardEntities[[#This Row],[Costs / m²]]/1000/1000</f>
        <v>0</v>
      </c>
      <c r="M8" s="2"/>
      <c r="N8" s="7">
        <f ca="1">DATEDIF(BoardEntities[[#This Row],[Creation date]],TODAY(),"M")</f>
        <v>1</v>
      </c>
      <c r="O8" s="3"/>
      <c r="Q8" s="1"/>
      <c r="R8" s="1"/>
      <c r="X8" s="1"/>
      <c r="AE8" s="1"/>
      <c r="AH8" s="1"/>
      <c r="AI8" s="1"/>
      <c r="AL8" s="1"/>
    </row>
    <row r="9" spans="1:38" x14ac:dyDescent="0.3">
      <c r="B9" s="1"/>
      <c r="C9" s="6" t="e" vm="12">
        <f>IF(BoardEntities[[#This Row],[QR-Code]]&lt;&gt;"",_xlfn.IMAGE(BoardEntities[[#This Row],[QR-Code]],"",3,100,100),"")</f>
        <v>#VALUE!</v>
      </c>
      <c r="D9" s="5" t="str">
        <f>IF(BoardEntities[[#This Row],[Thumbnail]]&lt;&gt;"",_xlfn.IMAGE(BoardEntities[[#This Row],[Thumbnail]],"",3,100,100),"")</f>
        <v/>
      </c>
      <c r="E9" s="1"/>
      <c r="F9" s="1"/>
      <c r="G9" s="1"/>
      <c r="H9" s="1"/>
      <c r="I9" s="1"/>
      <c r="J9" s="1"/>
      <c r="K9" s="8"/>
      <c r="L9" s="3">
        <f>BoardEntities[[#This Row],[Length]]*BoardEntities[[#This Row],[Width]]*BoardEntities[[#This Row],[Costs / m²]]/1000/1000</f>
        <v>0</v>
      </c>
      <c r="M9" s="2"/>
      <c r="N9" s="7">
        <f ca="1">DATEDIF(BoardEntities[[#This Row],[Creation date]],TODAY(),"M")</f>
        <v>1</v>
      </c>
      <c r="O9" s="3"/>
      <c r="Q9" s="1"/>
      <c r="R9" s="1"/>
      <c r="X9" s="1"/>
      <c r="AE9" s="1"/>
      <c r="AH9" s="1"/>
      <c r="AI9" s="1"/>
      <c r="AL9" s="1"/>
    </row>
    <row r="10" spans="1:38" x14ac:dyDescent="0.3">
      <c r="B10" s="1"/>
      <c r="C10" s="6" t="e" vm="13">
        <f>IF(BoardEntities[[#This Row],[QR-Code]]&lt;&gt;"",_xlfn.IMAGE(BoardEntities[[#This Row],[QR-Code]],"",3,100,100),"")</f>
        <v>#VALUE!</v>
      </c>
      <c r="D10" s="5" t="str">
        <f>IF(BoardEntities[[#This Row],[Thumbnail]]&lt;&gt;"",_xlfn.IMAGE(BoardEntities[[#This Row],[Thumbnail]],"",3,100,100),"")</f>
        <v/>
      </c>
      <c r="E10" s="1"/>
      <c r="F10" s="1"/>
      <c r="G10" s="1"/>
      <c r="H10" s="1"/>
      <c r="I10" s="1"/>
      <c r="J10" s="1"/>
      <c r="K10" s="8"/>
      <c r="L10" s="3">
        <f>BoardEntities[[#This Row],[Length]]*BoardEntities[[#This Row],[Width]]*BoardEntities[[#This Row],[Costs / m²]]/1000/1000</f>
        <v>0</v>
      </c>
      <c r="M10" s="2"/>
      <c r="N10" s="7">
        <f ca="1">DATEDIF(BoardEntities[[#This Row],[Creation date]],TODAY(),"M")</f>
        <v>1</v>
      </c>
      <c r="O10" s="3"/>
      <c r="Q10" s="1"/>
      <c r="R10" s="1"/>
      <c r="X10" s="1"/>
      <c r="AE10" s="1"/>
      <c r="AH10" s="1"/>
      <c r="AI10" s="1"/>
      <c r="AL10" s="1"/>
    </row>
    <row r="11" spans="1:38" x14ac:dyDescent="0.3">
      <c r="A11" s="1"/>
      <c r="B11" s="1"/>
      <c r="C11" s="6" t="e" vm="14">
        <f>IF(BoardEntities[[#This Row],[QR-Code]]&lt;&gt;"",_xlfn.IMAGE(BoardEntities[[#This Row],[QR-Code]],"",3,100,100),"")</f>
        <v>#VALUE!</v>
      </c>
      <c r="D11" s="5" t="e" vm="15">
        <f>IF(BoardEntities[[#This Row],[Thumbnail]]&lt;&gt;"",_xlfn.IMAGE(BoardEntities[[#This Row],[Thumbnail]],"",3,100,100),"")</f>
        <v>#VALUE!</v>
      </c>
      <c r="E11" s="1"/>
      <c r="F11" s="1"/>
      <c r="G11" s="1"/>
      <c r="H11" s="1"/>
      <c r="I11" s="1"/>
      <c r="J11" s="1"/>
      <c r="K11" s="8"/>
      <c r="L11" s="3">
        <f>BoardEntities[[#This Row],[Length]]*BoardEntities[[#This Row],[Width]]*BoardEntities[[#This Row],[Costs / m²]]/1000/1000</f>
        <v>31.323499999999999</v>
      </c>
      <c r="M11" s="2"/>
      <c r="N11" s="7">
        <f ca="1">DATEDIF(BoardEntities[[#This Row],[Creation date]],TODAY(),"M")</f>
        <v>1</v>
      </c>
      <c r="O11" s="3"/>
      <c r="Q11" s="1"/>
      <c r="R11" s="1"/>
      <c r="X11" s="1"/>
      <c r="AE11" s="1"/>
      <c r="AH11" s="1"/>
      <c r="AI11" s="1"/>
      <c r="AL11" s="1"/>
    </row>
    <row r="12" spans="1:38" ht="14.4" x14ac:dyDescent="0.3">
      <c r="AE12" s="1"/>
      <c r="AH12" s="1"/>
      <c r="AI12" s="1"/>
      <c r="AL12" s="1"/>
    </row>
    <row r="13" spans="1:38" ht="14.4" x14ac:dyDescent="0.3">
      <c r="AE13" s="1"/>
      <c r="AH13" s="1"/>
      <c r="AI13" s="1"/>
      <c r="AL13" s="1"/>
    </row>
    <row r="14" spans="1:38" ht="14.4" x14ac:dyDescent="0.3">
      <c r="AE14" s="1"/>
      <c r="AH14" s="1"/>
      <c r="AI14" s="1"/>
      <c r="AL14" s="1"/>
    </row>
    <row r="15" spans="1:38" ht="14.4" x14ac:dyDescent="0.3">
      <c r="AE15" s="1"/>
      <c r="AH15" s="1"/>
      <c r="AI15" s="1"/>
      <c r="AL15" s="1"/>
    </row>
    <row r="16" spans="1:38" ht="14.4" x14ac:dyDescent="0.3">
      <c r="AE16" s="1"/>
      <c r="AH16" s="1"/>
      <c r="AI16" s="1"/>
      <c r="AL16" s="1"/>
    </row>
    <row r="17" spans="31:38" ht="14.4" x14ac:dyDescent="0.3">
      <c r="AE17" s="1"/>
      <c r="AH17" s="1"/>
      <c r="AI17" s="1"/>
      <c r="AL17" s="1"/>
    </row>
    <row r="18" spans="31:38" ht="14.4" x14ac:dyDescent="0.3">
      <c r="AE18" s="1"/>
      <c r="AH18" s="1"/>
      <c r="AI18" s="1"/>
      <c r="AL18" s="1"/>
    </row>
    <row r="19" spans="31:38" ht="14.4" x14ac:dyDescent="0.3">
      <c r="AE19" s="1"/>
      <c r="AH19" s="1"/>
      <c r="AI19" s="1"/>
      <c r="AL19" s="1"/>
    </row>
    <row r="20" spans="31:38" ht="14.4" x14ac:dyDescent="0.3">
      <c r="AE20" s="1"/>
      <c r="AH20" s="1"/>
      <c r="AI20" s="1"/>
      <c r="AL20" s="1"/>
    </row>
    <row r="21" spans="31:38" ht="14.4" x14ac:dyDescent="0.3">
      <c r="AE21" s="1"/>
      <c r="AH21" s="1"/>
      <c r="AI21" s="1"/>
      <c r="AL21" s="1"/>
    </row>
    <row r="22" spans="31:38" ht="14.4" x14ac:dyDescent="0.3">
      <c r="AE22" s="1"/>
      <c r="AH22" s="1"/>
      <c r="AI22" s="1"/>
      <c r="AL22" s="1"/>
    </row>
    <row r="23" spans="31:38" ht="14.4" x14ac:dyDescent="0.3">
      <c r="AE23" s="1"/>
      <c r="AH23" s="1"/>
      <c r="AI23" s="1"/>
      <c r="AL23" s="1"/>
    </row>
    <row r="24" spans="31:38" ht="14.4" x14ac:dyDescent="0.3">
      <c r="AE24" s="1"/>
      <c r="AH24" s="1"/>
      <c r="AI24" s="1"/>
      <c r="AL24" s="1"/>
    </row>
    <row r="25" spans="31:38" ht="14.4" x14ac:dyDescent="0.3">
      <c r="AE25" s="1"/>
      <c r="AH25" s="1"/>
      <c r="AI25" s="1"/>
      <c r="AL25" s="1"/>
    </row>
    <row r="26" spans="31:38" ht="14.4" x14ac:dyDescent="0.3">
      <c r="AE26" s="1"/>
      <c r="AH26" s="1"/>
      <c r="AI26" s="1"/>
      <c r="AL26" s="1"/>
    </row>
    <row r="27" spans="31:38" ht="14.4" x14ac:dyDescent="0.3">
      <c r="AE27" s="1"/>
      <c r="AH27" s="1"/>
      <c r="AI27" s="1"/>
      <c r="AL27" s="1"/>
    </row>
    <row r="28" spans="31:38" ht="14.4" x14ac:dyDescent="0.3">
      <c r="AE28" s="1"/>
      <c r="AH28" s="1"/>
      <c r="AI28" s="1"/>
      <c r="AL28" s="1"/>
    </row>
    <row r="29" spans="31:38" ht="14.4" x14ac:dyDescent="0.3">
      <c r="AE29" s="1"/>
      <c r="AH29" s="1"/>
      <c r="AI29" s="1"/>
      <c r="AL29" s="1"/>
    </row>
    <row r="30" spans="31:38" ht="14.4" x14ac:dyDescent="0.3">
      <c r="AE30" s="1"/>
      <c r="AH30" s="1"/>
      <c r="AI30" s="1"/>
      <c r="AL30" s="1"/>
    </row>
    <row r="31" spans="31:38" ht="14.4" x14ac:dyDescent="0.3">
      <c r="AE31" s="1"/>
      <c r="AH31" s="1"/>
      <c r="AI31" s="1"/>
      <c r="AL31" s="1"/>
    </row>
    <row r="32" spans="31:38" ht="14.4" x14ac:dyDescent="0.3">
      <c r="AE32" s="1"/>
      <c r="AH32" s="1"/>
      <c r="AI32" s="1"/>
      <c r="AL32" s="1"/>
    </row>
    <row r="33" spans="31:38" ht="14.4" x14ac:dyDescent="0.3">
      <c r="AE33" s="1"/>
      <c r="AH33" s="1"/>
      <c r="AI33" s="1"/>
      <c r="AL33" s="1"/>
    </row>
    <row r="34" spans="31:38" ht="14.4" x14ac:dyDescent="0.3">
      <c r="AE34" s="1"/>
      <c r="AH34" s="1"/>
      <c r="AI34" s="1"/>
      <c r="AL34" s="1"/>
    </row>
    <row r="35" spans="31:38" ht="14.4" x14ac:dyDescent="0.3">
      <c r="AE35" s="1"/>
      <c r="AH35" s="1"/>
      <c r="AI35" s="1"/>
      <c r="AL35" s="1"/>
    </row>
    <row r="36" spans="31:38" ht="14.4" x14ac:dyDescent="0.3">
      <c r="AE36" s="1"/>
      <c r="AH36" s="1"/>
      <c r="AI36" s="1"/>
      <c r="AL36" s="1"/>
    </row>
    <row r="37" spans="31:38" ht="14.4" x14ac:dyDescent="0.3">
      <c r="AE37" s="1"/>
      <c r="AH37" s="1"/>
      <c r="AI37" s="1"/>
      <c r="AL37" s="1"/>
    </row>
    <row r="38" spans="31:38" ht="14.4" x14ac:dyDescent="0.3">
      <c r="AE38" s="1"/>
      <c r="AH38" s="1"/>
      <c r="AI38" s="1"/>
      <c r="AL38" s="1"/>
    </row>
    <row r="39" spans="31:38" ht="14.4" x14ac:dyDescent="0.3">
      <c r="AE39" s="1"/>
      <c r="AH39" s="1"/>
      <c r="AI39" s="1"/>
      <c r="AL39" s="1"/>
    </row>
    <row r="40" spans="31:38" ht="14.4" x14ac:dyDescent="0.3">
      <c r="AE40" s="1"/>
      <c r="AH40" s="1"/>
      <c r="AI40" s="1"/>
      <c r="AL40" s="1"/>
    </row>
    <row r="41" spans="31:38" ht="14.4" x14ac:dyDescent="0.3">
      <c r="AE41" s="1"/>
      <c r="AH41" s="1"/>
      <c r="AI41" s="1"/>
      <c r="AL41" s="1"/>
    </row>
    <row r="42" spans="31:38" ht="14.4" x14ac:dyDescent="0.3">
      <c r="AE42" s="1"/>
      <c r="AH42" s="1"/>
      <c r="AI42" s="1"/>
      <c r="AL42" s="1"/>
    </row>
    <row r="43" spans="31:38" ht="14.4" x14ac:dyDescent="0.3">
      <c r="AE43" s="1"/>
      <c r="AH43" s="1"/>
      <c r="AI43" s="1"/>
      <c r="AL43" s="1"/>
    </row>
    <row r="44" spans="31:38" ht="14.4" x14ac:dyDescent="0.3">
      <c r="AE44" s="1"/>
      <c r="AH44" s="1"/>
      <c r="AI44" s="1"/>
      <c r="AL44" s="1"/>
    </row>
    <row r="45" spans="31:38" ht="14.4" x14ac:dyDescent="0.3">
      <c r="AE45" s="1"/>
      <c r="AH45" s="1"/>
      <c r="AI45" s="1"/>
      <c r="AL45" s="1"/>
    </row>
    <row r="46" spans="31:38" ht="14.4" x14ac:dyDescent="0.3">
      <c r="AE46" s="1"/>
      <c r="AH46" s="1"/>
      <c r="AI46" s="1"/>
      <c r="AL46" s="1"/>
    </row>
    <row r="47" spans="31:38" ht="14.4" x14ac:dyDescent="0.3">
      <c r="AE47" s="1"/>
      <c r="AH47" s="1"/>
      <c r="AI47" s="1"/>
      <c r="AL47" s="1"/>
    </row>
    <row r="48" spans="31:38" ht="14.4" x14ac:dyDescent="0.3">
      <c r="AE48" s="1"/>
      <c r="AH48" s="1"/>
      <c r="AI48" s="1"/>
      <c r="AL48" s="1"/>
    </row>
    <row r="49" spans="31:38" ht="14.4" x14ac:dyDescent="0.3">
      <c r="AE49" s="1"/>
      <c r="AH49" s="1"/>
      <c r="AI49" s="1"/>
      <c r="AL49" s="1"/>
    </row>
    <row r="50" spans="31:38" ht="14.4" x14ac:dyDescent="0.3">
      <c r="AE50" s="1"/>
      <c r="AH50" s="1"/>
      <c r="AI50" s="1"/>
      <c r="AL50" s="1"/>
    </row>
    <row r="51" spans="31:38" ht="14.4" x14ac:dyDescent="0.3">
      <c r="AE51" s="1"/>
      <c r="AH51" s="1"/>
      <c r="AI51" s="1"/>
      <c r="AL51" s="1"/>
    </row>
    <row r="52" spans="31:38" ht="14.4" x14ac:dyDescent="0.3">
      <c r="AE52" s="1"/>
      <c r="AH52" s="1"/>
      <c r="AI52" s="1"/>
      <c r="AL52" s="1"/>
    </row>
    <row r="53" spans="31:38" ht="14.4" x14ac:dyDescent="0.3">
      <c r="AE53" s="1"/>
      <c r="AH53" s="1"/>
      <c r="AI53" s="1"/>
      <c r="AL53" s="1"/>
    </row>
    <row r="54" spans="31:38" ht="14.4" x14ac:dyDescent="0.3">
      <c r="AE54" s="1"/>
      <c r="AH54" s="1"/>
      <c r="AI54" s="1"/>
      <c r="AL54" s="1"/>
    </row>
    <row r="55" spans="31:38" ht="14.4" x14ac:dyDescent="0.3">
      <c r="AE55" s="1"/>
      <c r="AH55" s="1"/>
      <c r="AI55" s="1"/>
      <c r="AL55" s="1"/>
    </row>
    <row r="56" spans="31:38" ht="14.4" x14ac:dyDescent="0.3">
      <c r="AE56" s="1"/>
      <c r="AH56" s="1"/>
      <c r="AI56" s="1"/>
      <c r="AL56" s="1"/>
    </row>
    <row r="57" spans="31:38" ht="14.4" x14ac:dyDescent="0.3">
      <c r="AE57" s="1"/>
      <c r="AH57" s="1"/>
      <c r="AI57" s="1"/>
      <c r="AL57" s="1"/>
    </row>
    <row r="58" spans="31:38" ht="14.4" x14ac:dyDescent="0.3">
      <c r="AE58" s="1"/>
      <c r="AH58" s="1"/>
      <c r="AI58" s="1"/>
      <c r="AL58" s="1"/>
    </row>
    <row r="59" spans="31:38" ht="14.4" x14ac:dyDescent="0.3">
      <c r="AE59" s="1"/>
      <c r="AH59" s="1"/>
      <c r="AI59" s="1"/>
      <c r="AL59" s="1"/>
    </row>
    <row r="60" spans="31:38" ht="14.4" x14ac:dyDescent="0.3">
      <c r="AE60" s="1"/>
      <c r="AH60" s="1"/>
      <c r="AI60" s="1"/>
      <c r="AL60" s="1"/>
    </row>
    <row r="61" spans="31:38" ht="14.4" x14ac:dyDescent="0.3">
      <c r="AE61" s="1"/>
      <c r="AH61" s="1"/>
      <c r="AI61" s="1"/>
      <c r="AL61" s="1"/>
    </row>
    <row r="62" spans="31:38" ht="14.4" x14ac:dyDescent="0.3">
      <c r="AE62" s="1"/>
      <c r="AH62" s="1"/>
      <c r="AI62" s="1"/>
      <c r="AL62" s="1"/>
    </row>
    <row r="63" spans="31:38" ht="14.4" x14ac:dyDescent="0.3">
      <c r="AE63" s="1"/>
      <c r="AH63" s="1"/>
      <c r="AI63" s="1"/>
      <c r="AL63" s="1"/>
    </row>
    <row r="64" spans="31:38" ht="14.4" x14ac:dyDescent="0.3">
      <c r="AE64" s="1"/>
      <c r="AH64" s="1"/>
      <c r="AI64" s="1"/>
      <c r="AL64" s="1"/>
    </row>
    <row r="65" spans="31:38" ht="14.4" x14ac:dyDescent="0.3">
      <c r="AE65" s="1"/>
      <c r="AH65" s="1"/>
      <c r="AI65" s="1"/>
      <c r="AL65" s="1"/>
    </row>
    <row r="66" spans="31:38" ht="14.4" x14ac:dyDescent="0.3">
      <c r="AE66" s="1"/>
      <c r="AH66" s="1"/>
      <c r="AI66" s="1"/>
      <c r="AL66" s="1"/>
    </row>
    <row r="67" spans="31:38" ht="14.4" x14ac:dyDescent="0.3">
      <c r="AE67" s="1"/>
      <c r="AH67" s="1"/>
      <c r="AI67" s="1"/>
      <c r="AL67" s="1"/>
    </row>
    <row r="68" spans="31:38" ht="14.4" x14ac:dyDescent="0.3">
      <c r="AE68" s="1"/>
      <c r="AH68" s="1"/>
      <c r="AI68" s="1"/>
      <c r="AL68" s="1"/>
    </row>
    <row r="69" spans="31:38" ht="14.4" x14ac:dyDescent="0.3">
      <c r="AE69" s="1"/>
      <c r="AH69" s="1"/>
      <c r="AI69" s="1"/>
      <c r="AL69" s="1"/>
    </row>
    <row r="70" spans="31:38" ht="14.4" x14ac:dyDescent="0.3">
      <c r="AE70" s="1"/>
      <c r="AH70" s="1"/>
      <c r="AI70" s="1"/>
      <c r="AL70" s="1"/>
    </row>
    <row r="71" spans="31:38" ht="14.4" x14ac:dyDescent="0.3">
      <c r="AE71" s="1"/>
      <c r="AH71" s="1"/>
      <c r="AI71" s="1"/>
      <c r="AL71" s="1"/>
    </row>
    <row r="72" spans="31:38" ht="14.4" x14ac:dyDescent="0.3">
      <c r="AE72" s="1"/>
      <c r="AH72" s="1"/>
      <c r="AI72" s="1"/>
      <c r="AL72" s="1"/>
    </row>
    <row r="73" spans="31:38" ht="14.4" x14ac:dyDescent="0.3">
      <c r="AE73" s="1"/>
      <c r="AH73" s="1"/>
      <c r="AI73" s="1"/>
      <c r="AL73" s="1"/>
    </row>
    <row r="74" spans="31:38" ht="14.4" x14ac:dyDescent="0.3">
      <c r="AE74" s="1"/>
      <c r="AH74" s="1"/>
      <c r="AI74" s="1"/>
      <c r="AL74" s="1"/>
    </row>
    <row r="75" spans="31:38" ht="14.4" x14ac:dyDescent="0.3">
      <c r="AE75" s="1"/>
      <c r="AH75" s="1"/>
      <c r="AI75" s="1"/>
      <c r="AL75" s="1"/>
    </row>
    <row r="76" spans="31:38" ht="14.4" x14ac:dyDescent="0.3">
      <c r="AE76" s="1"/>
      <c r="AH76" s="1"/>
      <c r="AI76" s="1"/>
      <c r="AL76" s="1"/>
    </row>
    <row r="77" spans="31:38" ht="14.4" x14ac:dyDescent="0.3">
      <c r="AE77" s="1"/>
      <c r="AH77" s="1"/>
      <c r="AI77" s="1"/>
      <c r="AL77" s="1"/>
    </row>
    <row r="78" spans="31:38" ht="14.4" x14ac:dyDescent="0.3">
      <c r="AE78" s="1"/>
      <c r="AH78" s="1"/>
      <c r="AI78" s="1"/>
      <c r="AL78" s="1"/>
    </row>
    <row r="79" spans="31:38" ht="14.4" x14ac:dyDescent="0.3">
      <c r="AE79" s="1"/>
      <c r="AH79" s="1"/>
      <c r="AI79" s="1"/>
      <c r="AL79" s="1"/>
    </row>
    <row r="80" spans="31:38" ht="14.4" x14ac:dyDescent="0.3">
      <c r="AE80" s="1"/>
      <c r="AH80" s="1"/>
      <c r="AI80" s="1"/>
      <c r="AL80" s="1"/>
    </row>
    <row r="81" spans="31:38" ht="14.4" x14ac:dyDescent="0.3">
      <c r="AE81" s="1"/>
      <c r="AH81" s="1"/>
      <c r="AI81" s="1"/>
      <c r="AL81" s="1"/>
    </row>
    <row r="82" spans="31:38" ht="14.4" x14ac:dyDescent="0.3">
      <c r="AE82" s="1"/>
      <c r="AH82" s="1"/>
      <c r="AI82" s="1"/>
      <c r="AL82" s="1"/>
    </row>
    <row r="83" spans="31:38" ht="14.4" x14ac:dyDescent="0.3">
      <c r="AE83" s="1"/>
      <c r="AH83" s="1"/>
      <c r="AI83" s="1"/>
      <c r="AL83" s="1"/>
    </row>
    <row r="84" spans="31:38" ht="14.4" x14ac:dyDescent="0.3">
      <c r="AE84" s="1"/>
      <c r="AH84" s="1"/>
      <c r="AI84" s="1"/>
      <c r="AL84" s="1"/>
    </row>
    <row r="85" spans="31:38" ht="14.4" x14ac:dyDescent="0.3">
      <c r="AE85" s="1"/>
      <c r="AH85" s="1"/>
      <c r="AI85" s="1"/>
      <c r="AL85" s="1"/>
    </row>
    <row r="86" spans="31:38" ht="14.4" x14ac:dyDescent="0.3">
      <c r="AE86" s="1"/>
      <c r="AH86" s="1"/>
      <c r="AI86" s="1"/>
      <c r="AL86" s="1"/>
    </row>
    <row r="87" spans="31:38" ht="14.4" x14ac:dyDescent="0.3">
      <c r="AE87" s="1"/>
      <c r="AH87" s="1"/>
      <c r="AI87" s="1"/>
      <c r="AL87" s="1"/>
    </row>
    <row r="88" spans="31:38" ht="14.4" x14ac:dyDescent="0.3">
      <c r="AE88" s="1"/>
      <c r="AH88" s="1"/>
      <c r="AI88" s="1"/>
      <c r="AL88" s="1"/>
    </row>
    <row r="89" spans="31:38" ht="14.4" x14ac:dyDescent="0.3">
      <c r="AE89" s="1"/>
      <c r="AH89" s="1"/>
      <c r="AI89" s="1"/>
      <c r="AL89" s="1"/>
    </row>
    <row r="90" spans="31:38" ht="14.4" x14ac:dyDescent="0.3">
      <c r="AE90" s="1"/>
      <c r="AH90" s="1"/>
      <c r="AI90" s="1"/>
      <c r="AL90" s="1"/>
    </row>
    <row r="91" spans="31:38" ht="14.4" x14ac:dyDescent="0.3">
      <c r="AE91" s="1"/>
      <c r="AH91" s="1"/>
      <c r="AI91" s="1"/>
      <c r="AL91" s="1"/>
    </row>
    <row r="92" spans="31:38" ht="14.4" x14ac:dyDescent="0.3">
      <c r="AE92" s="1"/>
      <c r="AH92" s="1"/>
      <c r="AI92" s="1"/>
      <c r="AL92" s="1"/>
    </row>
    <row r="93" spans="31:38" ht="14.4" x14ac:dyDescent="0.3">
      <c r="AE93" s="1"/>
      <c r="AH93" s="1"/>
      <c r="AI93" s="1"/>
      <c r="AL93" s="1"/>
    </row>
    <row r="94" spans="31:38" ht="14.4" x14ac:dyDescent="0.3">
      <c r="AE94" s="1"/>
      <c r="AH94" s="1"/>
      <c r="AI94" s="1"/>
      <c r="AL94" s="1"/>
    </row>
    <row r="95" spans="31:38" ht="14.4" x14ac:dyDescent="0.3">
      <c r="AE95" s="1"/>
      <c r="AH95" s="1"/>
      <c r="AI95" s="1"/>
      <c r="AL95" s="1"/>
    </row>
    <row r="96" spans="31:38" ht="14.4" x14ac:dyDescent="0.3">
      <c r="AE96" s="1"/>
      <c r="AH96" s="1"/>
      <c r="AI96" s="1"/>
      <c r="AL96" s="1"/>
    </row>
    <row r="97" spans="31:38" ht="14.4" x14ac:dyDescent="0.3">
      <c r="AE97" s="1"/>
      <c r="AH97" s="1"/>
      <c r="AI97" s="1"/>
      <c r="AL97" s="1"/>
    </row>
    <row r="98" spans="31:38" ht="14.4" x14ac:dyDescent="0.3">
      <c r="AE98" s="1"/>
      <c r="AH98" s="1"/>
      <c r="AI98" s="1"/>
      <c r="AL98" s="1"/>
    </row>
    <row r="99" spans="31:38" ht="14.4" x14ac:dyDescent="0.3">
      <c r="AE99" s="1"/>
      <c r="AH99" s="1"/>
      <c r="AI99" s="1"/>
      <c r="AL99" s="1"/>
    </row>
    <row r="100" spans="31:38" ht="14.4" x14ac:dyDescent="0.3">
      <c r="AE100" s="1"/>
      <c r="AH100" s="1"/>
      <c r="AI100" s="1"/>
      <c r="AL100" s="1"/>
    </row>
    <row r="101" spans="31:38" ht="14.4" x14ac:dyDescent="0.3">
      <c r="AE101" s="1"/>
      <c r="AH101" s="1"/>
      <c r="AI101" s="1"/>
      <c r="AL101" s="1"/>
    </row>
    <row r="102" spans="31:38" ht="14.4" x14ac:dyDescent="0.3">
      <c r="AE102" s="1"/>
      <c r="AH102" s="1"/>
      <c r="AI102" s="1"/>
      <c r="AL102" s="1"/>
    </row>
    <row r="103" spans="31:38" ht="14.4" x14ac:dyDescent="0.3">
      <c r="AE103" s="1"/>
      <c r="AH103" s="1"/>
      <c r="AI103" s="1"/>
      <c r="AL103" s="1"/>
    </row>
    <row r="104" spans="31:38" ht="14.4" x14ac:dyDescent="0.3">
      <c r="AE104" s="1"/>
      <c r="AH104" s="1"/>
      <c r="AI104" s="1"/>
      <c r="AL104" s="1"/>
    </row>
    <row r="105" spans="31:38" ht="14.4" x14ac:dyDescent="0.3">
      <c r="AE105" s="1"/>
      <c r="AH105" s="1"/>
      <c r="AI105" s="1"/>
      <c r="AL105" s="1"/>
    </row>
    <row r="106" spans="31:38" ht="14.4" x14ac:dyDescent="0.3">
      <c r="AE106" s="1"/>
      <c r="AH106" s="1"/>
      <c r="AI106" s="1"/>
      <c r="AL106" s="1"/>
    </row>
    <row r="107" spans="31:38" ht="14.4" x14ac:dyDescent="0.3">
      <c r="AE107" s="1"/>
      <c r="AH107" s="1"/>
      <c r="AI107" s="1"/>
      <c r="AL107" s="1"/>
    </row>
    <row r="108" spans="31:38" ht="14.4" x14ac:dyDescent="0.3">
      <c r="AE108" s="1"/>
      <c r="AH108" s="1"/>
      <c r="AI108" s="1"/>
      <c r="AL108" s="1"/>
    </row>
    <row r="109" spans="31:38" ht="14.4" x14ac:dyDescent="0.3">
      <c r="AE109" s="1"/>
      <c r="AH109" s="1"/>
      <c r="AI109" s="1"/>
      <c r="AL109" s="1"/>
    </row>
    <row r="110" spans="31:38" ht="14.4" x14ac:dyDescent="0.3">
      <c r="AE110" s="1"/>
      <c r="AH110" s="1"/>
      <c r="AI110" s="1"/>
      <c r="AL110" s="1"/>
    </row>
    <row r="111" spans="31:38" ht="14.4" x14ac:dyDescent="0.3">
      <c r="AE111" s="1"/>
      <c r="AH111" s="1"/>
      <c r="AI111" s="1"/>
      <c r="AL111" s="1"/>
    </row>
    <row r="112" spans="31:38" ht="14.4" x14ac:dyDescent="0.3">
      <c r="AE112" s="1"/>
      <c r="AH112" s="1"/>
      <c r="AI112" s="1"/>
      <c r="AL112" s="1"/>
    </row>
    <row r="113" spans="31:38" ht="14.4" x14ac:dyDescent="0.3">
      <c r="AE113" s="1"/>
      <c r="AH113" s="1"/>
      <c r="AI113" s="1"/>
      <c r="AL113" s="1"/>
    </row>
    <row r="114" spans="31:38" ht="14.4" x14ac:dyDescent="0.3">
      <c r="AE114" s="1"/>
      <c r="AH114" s="1"/>
      <c r="AI114" s="1"/>
      <c r="AL114" s="1"/>
    </row>
    <row r="115" spans="31:38" ht="14.4" x14ac:dyDescent="0.3">
      <c r="AE115" s="1"/>
      <c r="AH115" s="1"/>
      <c r="AI115" s="1"/>
      <c r="AL115" s="1"/>
    </row>
    <row r="116" spans="31:38" ht="14.4" x14ac:dyDescent="0.3">
      <c r="AE116" s="1"/>
      <c r="AH116" s="1"/>
      <c r="AI116" s="1"/>
      <c r="AL116" s="1"/>
    </row>
    <row r="117" spans="31:38" ht="14.4" x14ac:dyDescent="0.3">
      <c r="AE117" s="1"/>
      <c r="AH117" s="1"/>
      <c r="AI117" s="1"/>
      <c r="AL117" s="1"/>
    </row>
    <row r="118" spans="31:38" ht="14.4" x14ac:dyDescent="0.3">
      <c r="AE118" s="1"/>
      <c r="AH118" s="1"/>
      <c r="AI118" s="1"/>
      <c r="AL118" s="1"/>
    </row>
    <row r="119" spans="31:38" ht="14.4" x14ac:dyDescent="0.3">
      <c r="AE119" s="1"/>
      <c r="AH119" s="1"/>
      <c r="AI119" s="1"/>
      <c r="AL119" s="1"/>
    </row>
    <row r="120" spans="31:38" ht="14.4" x14ac:dyDescent="0.3">
      <c r="AE120" s="1"/>
      <c r="AH120" s="1"/>
      <c r="AI120" s="1"/>
      <c r="AL120" s="1"/>
    </row>
    <row r="121" spans="31:38" ht="14.4" x14ac:dyDescent="0.3">
      <c r="AE121" s="1"/>
      <c r="AH121" s="1"/>
      <c r="AI121" s="1"/>
      <c r="AL121" s="1"/>
    </row>
    <row r="122" spans="31:38" ht="14.4" x14ac:dyDescent="0.3">
      <c r="AE122" s="1"/>
      <c r="AH122" s="1"/>
      <c r="AI122" s="1"/>
      <c r="AL122" s="1"/>
    </row>
    <row r="123" spans="31:38" ht="14.4" x14ac:dyDescent="0.3">
      <c r="AE123" s="1"/>
      <c r="AH123" s="1"/>
      <c r="AI123" s="1"/>
      <c r="AL123" s="1"/>
    </row>
    <row r="124" spans="31:38" ht="14.4" x14ac:dyDescent="0.3">
      <c r="AE124" s="1"/>
      <c r="AH124" s="1"/>
      <c r="AI124" s="1"/>
      <c r="AL124" s="1"/>
    </row>
    <row r="125" spans="31:38" ht="14.4" x14ac:dyDescent="0.3">
      <c r="AE125" s="1"/>
      <c r="AH125" s="1"/>
      <c r="AI125" s="1"/>
      <c r="AL125" s="1"/>
    </row>
    <row r="126" spans="31:38" ht="14.4" x14ac:dyDescent="0.3">
      <c r="AE126" s="1"/>
      <c r="AH126" s="1"/>
      <c r="AI126" s="1"/>
      <c r="AL126" s="1"/>
    </row>
    <row r="127" spans="31:38" ht="14.4" x14ac:dyDescent="0.3">
      <c r="AE127" s="1"/>
      <c r="AH127" s="1"/>
      <c r="AI127" s="1"/>
      <c r="AL127" s="1"/>
    </row>
    <row r="128" spans="31:38" ht="14.4" x14ac:dyDescent="0.3">
      <c r="AE128" s="1"/>
      <c r="AH128" s="1"/>
      <c r="AI128" s="1"/>
      <c r="AL128" s="1"/>
    </row>
    <row r="129" spans="31:38" ht="14.4" x14ac:dyDescent="0.3">
      <c r="AE129" s="1"/>
      <c r="AH129" s="1"/>
      <c r="AI129" s="1"/>
      <c r="AL129" s="1"/>
    </row>
    <row r="130" spans="31:38" ht="14.4" x14ac:dyDescent="0.3">
      <c r="AE130" s="1"/>
      <c r="AH130" s="1"/>
      <c r="AI130" s="1"/>
      <c r="AL130" s="1"/>
    </row>
    <row r="131" spans="31:38" ht="14.4" x14ac:dyDescent="0.3">
      <c r="AE131" s="1"/>
      <c r="AH131" s="1"/>
      <c r="AI131" s="1"/>
      <c r="AL131" s="1"/>
    </row>
    <row r="132" spans="31:38" ht="14.4" x14ac:dyDescent="0.3">
      <c r="AE132" s="1"/>
      <c r="AH132" s="1"/>
      <c r="AI132" s="1"/>
      <c r="AL132" s="1"/>
    </row>
    <row r="133" spans="31:38" ht="14.4" x14ac:dyDescent="0.3">
      <c r="AE133" s="1"/>
      <c r="AH133" s="1"/>
      <c r="AI133" s="1"/>
      <c r="AL133" s="1"/>
    </row>
    <row r="134" spans="31:38" ht="14.4" x14ac:dyDescent="0.3">
      <c r="AE134" s="1"/>
      <c r="AH134" s="1"/>
      <c r="AI134" s="1"/>
      <c r="AL134" s="1"/>
    </row>
    <row r="135" spans="31:38" ht="14.4" x14ac:dyDescent="0.3">
      <c r="AE135" s="1"/>
      <c r="AH135" s="1"/>
      <c r="AI135" s="1"/>
      <c r="AL135" s="1"/>
    </row>
    <row r="136" spans="31:38" ht="14.4" x14ac:dyDescent="0.3">
      <c r="AE136" s="1"/>
      <c r="AH136" s="1"/>
      <c r="AI136" s="1"/>
      <c r="AL136" s="1"/>
    </row>
    <row r="137" spans="31:38" ht="14.4" x14ac:dyDescent="0.3">
      <c r="AE137" s="1"/>
      <c r="AH137" s="1"/>
      <c r="AI137" s="1"/>
      <c r="AL137" s="1"/>
    </row>
    <row r="138" spans="31:38" ht="14.4" x14ac:dyDescent="0.3">
      <c r="AE138" s="1"/>
      <c r="AH138" s="1"/>
      <c r="AI138" s="1"/>
      <c r="AL138" s="1"/>
    </row>
    <row r="139" spans="31:38" ht="14.4" x14ac:dyDescent="0.3">
      <c r="AE139" s="1"/>
      <c r="AH139" s="1"/>
      <c r="AI139" s="1"/>
      <c r="AL139" s="1"/>
    </row>
    <row r="140" spans="31:38" ht="14.4" x14ac:dyDescent="0.3">
      <c r="AE140" s="1"/>
      <c r="AH140" s="1"/>
      <c r="AI140" s="1"/>
      <c r="AL140" s="1"/>
    </row>
    <row r="141" spans="31:38" ht="14.4" x14ac:dyDescent="0.3">
      <c r="AE141" s="1"/>
      <c r="AH141" s="1"/>
      <c r="AI141" s="1"/>
      <c r="AL141" s="1"/>
    </row>
    <row r="142" spans="31:38" ht="14.4" x14ac:dyDescent="0.3">
      <c r="AE142" s="1"/>
      <c r="AH142" s="1"/>
      <c r="AI142" s="1"/>
      <c r="AL142" s="1"/>
    </row>
    <row r="143" spans="31:38" ht="14.4" x14ac:dyDescent="0.3">
      <c r="AE143" s="1"/>
      <c r="AH143" s="1"/>
      <c r="AI143" s="1"/>
      <c r="AL143" s="1"/>
    </row>
    <row r="144" spans="31:38" ht="14.4" x14ac:dyDescent="0.3">
      <c r="AE144" s="1"/>
      <c r="AH144" s="1"/>
      <c r="AI144" s="1"/>
      <c r="AL144" s="1"/>
    </row>
    <row r="145" spans="31:38" ht="14.4" x14ac:dyDescent="0.3">
      <c r="AE145" s="1"/>
      <c r="AH145" s="1"/>
      <c r="AI145" s="1"/>
      <c r="AL145" s="1"/>
    </row>
    <row r="146" spans="31:38" ht="14.4" x14ac:dyDescent="0.3">
      <c r="AE146" s="1"/>
      <c r="AH146" s="1"/>
      <c r="AI146" s="1"/>
      <c r="AL146" s="1"/>
    </row>
    <row r="147" spans="31:38" ht="14.4" x14ac:dyDescent="0.3">
      <c r="AE147" s="1"/>
      <c r="AH147" s="1"/>
      <c r="AI147" s="1"/>
      <c r="AL147" s="1"/>
    </row>
    <row r="148" spans="31:38" ht="14.4" x14ac:dyDescent="0.3">
      <c r="AE148" s="1"/>
      <c r="AH148" s="1"/>
      <c r="AI148" s="1"/>
      <c r="AL148" s="1"/>
    </row>
    <row r="149" spans="31:38" ht="14.4" x14ac:dyDescent="0.3">
      <c r="AE149" s="1"/>
      <c r="AH149" s="1"/>
      <c r="AI149" s="1"/>
      <c r="AL149" s="1"/>
    </row>
    <row r="150" spans="31:38" ht="14.4" x14ac:dyDescent="0.3">
      <c r="AE150" s="1"/>
      <c r="AH150" s="1"/>
      <c r="AI150" s="1"/>
      <c r="AL150" s="1"/>
    </row>
    <row r="151" spans="31:38" ht="14.4" x14ac:dyDescent="0.3">
      <c r="AE151" s="1"/>
      <c r="AH151" s="1"/>
      <c r="AI151" s="1"/>
      <c r="AL151" s="1"/>
    </row>
    <row r="152" spans="31:38" ht="14.4" x14ac:dyDescent="0.3">
      <c r="AE152" s="1"/>
      <c r="AH152" s="1"/>
      <c r="AI152" s="1"/>
      <c r="AL152" s="1"/>
    </row>
    <row r="153" spans="31:38" ht="14.4" x14ac:dyDescent="0.3">
      <c r="AE153" s="1"/>
      <c r="AH153" s="1"/>
      <c r="AI153" s="1"/>
      <c r="AL153" s="1"/>
    </row>
    <row r="154" spans="31:38" ht="14.4" x14ac:dyDescent="0.3">
      <c r="AE154" s="1"/>
      <c r="AH154" s="1"/>
      <c r="AI154" s="1"/>
      <c r="AL154" s="1"/>
    </row>
    <row r="155" spans="31:38" ht="14.4" x14ac:dyDescent="0.3">
      <c r="AE155" s="1"/>
      <c r="AH155" s="1"/>
      <c r="AI155" s="1"/>
      <c r="AL155" s="1"/>
    </row>
    <row r="156" spans="31:38" ht="14.4" x14ac:dyDescent="0.3">
      <c r="AE156" s="1"/>
      <c r="AH156" s="1"/>
      <c r="AI156" s="1"/>
      <c r="AL156" s="1"/>
    </row>
    <row r="157" spans="31:38" ht="14.4" x14ac:dyDescent="0.3">
      <c r="AE157" s="1"/>
      <c r="AH157" s="1"/>
      <c r="AI157" s="1"/>
      <c r="AL157" s="1"/>
    </row>
    <row r="158" spans="31:38" ht="14.4" x14ac:dyDescent="0.3">
      <c r="AE158" s="1"/>
      <c r="AH158" s="1"/>
      <c r="AI158" s="1"/>
      <c r="AL158" s="1"/>
    </row>
    <row r="159" spans="31:38" ht="14.4" x14ac:dyDescent="0.3">
      <c r="AE159" s="1"/>
      <c r="AH159" s="1"/>
      <c r="AI159" s="1"/>
      <c r="AL159" s="1"/>
    </row>
    <row r="160" spans="31:38" ht="14.4" x14ac:dyDescent="0.3">
      <c r="AE160" s="1"/>
      <c r="AH160" s="1"/>
      <c r="AI160" s="1"/>
      <c r="AL160" s="1"/>
    </row>
    <row r="161" spans="31:38" ht="14.4" x14ac:dyDescent="0.3">
      <c r="AE161" s="1"/>
      <c r="AH161" s="1"/>
      <c r="AI161" s="1"/>
      <c r="AL161" s="1"/>
    </row>
    <row r="162" spans="31:38" ht="14.4" x14ac:dyDescent="0.3">
      <c r="AE162" s="1"/>
      <c r="AH162" s="1"/>
      <c r="AI162" s="1"/>
      <c r="AL162" s="1"/>
    </row>
    <row r="163" spans="31:38" ht="14.4" x14ac:dyDescent="0.3">
      <c r="AE163" s="1"/>
      <c r="AH163" s="1"/>
      <c r="AI163" s="1"/>
      <c r="AL163" s="1"/>
    </row>
    <row r="164" spans="31:38" ht="14.4" x14ac:dyDescent="0.3">
      <c r="AE164" s="1"/>
      <c r="AH164" s="1"/>
      <c r="AI164" s="1"/>
      <c r="AL164" s="1"/>
    </row>
    <row r="165" spans="31:38" ht="14.4" x14ac:dyDescent="0.3">
      <c r="AE165" s="1"/>
      <c r="AH165" s="1"/>
      <c r="AI165" s="1"/>
      <c r="AL165" s="1"/>
    </row>
    <row r="166" spans="31:38" ht="14.4" x14ac:dyDescent="0.3">
      <c r="AE166" s="1"/>
      <c r="AH166" s="1"/>
      <c r="AI166" s="1"/>
      <c r="AL166" s="1"/>
    </row>
    <row r="167" spans="31:38" ht="14.4" x14ac:dyDescent="0.3">
      <c r="AE167" s="1"/>
      <c r="AH167" s="1"/>
      <c r="AI167" s="1"/>
      <c r="AL167" s="1"/>
    </row>
    <row r="168" spans="31:38" ht="14.4" x14ac:dyDescent="0.3">
      <c r="AE168" s="1"/>
      <c r="AH168" s="1"/>
      <c r="AI168" s="1"/>
      <c r="AL168" s="1"/>
    </row>
    <row r="169" spans="31:38" ht="14.4" x14ac:dyDescent="0.3">
      <c r="AE169" s="1"/>
      <c r="AH169" s="1"/>
      <c r="AI169" s="1"/>
      <c r="AL169" s="1"/>
    </row>
    <row r="170" spans="31:38" ht="14.4" x14ac:dyDescent="0.3">
      <c r="AE170" s="1"/>
      <c r="AH170" s="1"/>
      <c r="AI170" s="1"/>
      <c r="AL170" s="1"/>
    </row>
    <row r="171" spans="31:38" ht="14.4" x14ac:dyDescent="0.3">
      <c r="AE171" s="1"/>
      <c r="AH171" s="1"/>
      <c r="AI171" s="1"/>
      <c r="AL171" s="1"/>
    </row>
    <row r="172" spans="31:38" ht="14.4" x14ac:dyDescent="0.3">
      <c r="AE172" s="1"/>
      <c r="AH172" s="1"/>
      <c r="AI172" s="1"/>
      <c r="AL172" s="1"/>
    </row>
    <row r="173" spans="31:38" ht="14.4" x14ac:dyDescent="0.3">
      <c r="AE173" s="1"/>
      <c r="AH173" s="1"/>
      <c r="AI173" s="1"/>
      <c r="AL173" s="1"/>
    </row>
    <row r="174" spans="31:38" ht="14.4" x14ac:dyDescent="0.3">
      <c r="AE174" s="1"/>
      <c r="AH174" s="1"/>
      <c r="AI174" s="1"/>
      <c r="AL174" s="1"/>
    </row>
    <row r="175" spans="31:38" ht="14.4" x14ac:dyDescent="0.3">
      <c r="AE175" s="1"/>
      <c r="AH175" s="1"/>
      <c r="AI175" s="1"/>
      <c r="AL175" s="1"/>
    </row>
    <row r="176" spans="31:38" ht="14.4" x14ac:dyDescent="0.3">
      <c r="AE176" s="1"/>
      <c r="AH176" s="1"/>
      <c r="AI176" s="1"/>
      <c r="AL176" s="1"/>
    </row>
    <row r="177" spans="31:38" ht="14.4" x14ac:dyDescent="0.3">
      <c r="AE177" s="1"/>
      <c r="AH177" s="1"/>
      <c r="AI177" s="1"/>
      <c r="AL177" s="1"/>
    </row>
    <row r="178" spans="31:38" ht="14.4" x14ac:dyDescent="0.3">
      <c r="AE178" s="1"/>
      <c r="AH178" s="1"/>
      <c r="AI178" s="1"/>
      <c r="AL178" s="1"/>
    </row>
    <row r="179" spans="31:38" ht="14.4" x14ac:dyDescent="0.3">
      <c r="AE179" s="1"/>
      <c r="AH179" s="1"/>
      <c r="AI179" s="1"/>
      <c r="AL179" s="1"/>
    </row>
    <row r="180" spans="31:38" ht="14.4" x14ac:dyDescent="0.3">
      <c r="AE180" s="1"/>
      <c r="AH180" s="1"/>
      <c r="AI180" s="1"/>
      <c r="AL180" s="1"/>
    </row>
    <row r="181" spans="31:38" ht="14.4" x14ac:dyDescent="0.3">
      <c r="AE181" s="1"/>
      <c r="AH181" s="1"/>
      <c r="AI181" s="1"/>
      <c r="AL181" s="1"/>
    </row>
    <row r="182" spans="31:38" ht="14.4" x14ac:dyDescent="0.3">
      <c r="AE182" s="1"/>
      <c r="AH182" s="1"/>
      <c r="AI182" s="1"/>
      <c r="AL182" s="1"/>
    </row>
    <row r="183" spans="31:38" ht="14.4" x14ac:dyDescent="0.3">
      <c r="AE183" s="1"/>
      <c r="AH183" s="1"/>
      <c r="AI183" s="1"/>
      <c r="AL183" s="1"/>
    </row>
    <row r="184" spans="31:38" ht="14.4" x14ac:dyDescent="0.3">
      <c r="AE184" s="1"/>
      <c r="AH184" s="1"/>
      <c r="AI184" s="1"/>
      <c r="AL184" s="1"/>
    </row>
    <row r="185" spans="31:38" ht="14.4" x14ac:dyDescent="0.3">
      <c r="AE185" s="1"/>
      <c r="AH185" s="1"/>
      <c r="AI185" s="1"/>
      <c r="AL185" s="1"/>
    </row>
    <row r="186" spans="31:38" ht="14.4" x14ac:dyDescent="0.3">
      <c r="AE186" s="1"/>
      <c r="AH186" s="1"/>
      <c r="AI186" s="1"/>
      <c r="AL186" s="1"/>
    </row>
    <row r="187" spans="31:38" ht="14.4" x14ac:dyDescent="0.3">
      <c r="AE187" s="1"/>
      <c r="AH187" s="1"/>
      <c r="AI187" s="1"/>
      <c r="AL187" s="1"/>
    </row>
    <row r="188" spans="31:38" ht="14.4" x14ac:dyDescent="0.3">
      <c r="AE188" s="1"/>
      <c r="AH188" s="1"/>
      <c r="AI188" s="1"/>
      <c r="AL188" s="1"/>
    </row>
    <row r="189" spans="31:38" ht="14.4" x14ac:dyDescent="0.3">
      <c r="AE189" s="1"/>
      <c r="AH189" s="1"/>
      <c r="AI189" s="1"/>
      <c r="AL189" s="1"/>
    </row>
    <row r="190" spans="31:38" ht="14.4" x14ac:dyDescent="0.3">
      <c r="AE190" s="1"/>
      <c r="AH190" s="1"/>
      <c r="AI190" s="1"/>
      <c r="AL190" s="1"/>
    </row>
    <row r="191" spans="31:38" ht="14.4" x14ac:dyDescent="0.3">
      <c r="AE191" s="1"/>
      <c r="AH191" s="1"/>
      <c r="AI191" s="1"/>
      <c r="AL191" s="1"/>
    </row>
    <row r="192" spans="31:38" ht="14.4" x14ac:dyDescent="0.3">
      <c r="AE192" s="1"/>
      <c r="AH192" s="1"/>
      <c r="AI192" s="1"/>
      <c r="AL192" s="1"/>
    </row>
    <row r="193" spans="31:38" ht="14.4" x14ac:dyDescent="0.3">
      <c r="AE193" s="1"/>
      <c r="AH193" s="1"/>
      <c r="AI193" s="1"/>
      <c r="AL193" s="1"/>
    </row>
    <row r="194" spans="31:38" ht="14.4" x14ac:dyDescent="0.3">
      <c r="AE194" s="1"/>
      <c r="AH194" s="1"/>
      <c r="AI194" s="1"/>
      <c r="AL194" s="1"/>
    </row>
    <row r="195" spans="31:38" ht="14.4" x14ac:dyDescent="0.3">
      <c r="AE195" s="1"/>
      <c r="AH195" s="1"/>
      <c r="AI195" s="1"/>
      <c r="AL195" s="1"/>
    </row>
    <row r="196" spans="31:38" ht="14.4" x14ac:dyDescent="0.3">
      <c r="AE196" s="1"/>
      <c r="AH196" s="1"/>
      <c r="AI196" s="1"/>
      <c r="AL196" s="1"/>
    </row>
    <row r="197" spans="31:38" ht="14.4" x14ac:dyDescent="0.3">
      <c r="AE197" s="1"/>
      <c r="AH197" s="1"/>
      <c r="AI197" s="1"/>
      <c r="AL197" s="1"/>
    </row>
    <row r="198" spans="31:38" ht="14.4" x14ac:dyDescent="0.3">
      <c r="AE198" s="1"/>
      <c r="AH198" s="1"/>
      <c r="AI198" s="1"/>
      <c r="AL198" s="1"/>
    </row>
    <row r="199" spans="31:38" ht="14.4" x14ac:dyDescent="0.3">
      <c r="AE199" s="1"/>
      <c r="AH199" s="1"/>
      <c r="AI199" s="1"/>
      <c r="AL199" s="1"/>
    </row>
    <row r="200" spans="31:38" ht="14.4" x14ac:dyDescent="0.3">
      <c r="AE200" s="1"/>
      <c r="AH200" s="1"/>
      <c r="AI200" s="1"/>
      <c r="AL200" s="1"/>
    </row>
    <row r="201" spans="31:38" ht="14.4" x14ac:dyDescent="0.3">
      <c r="AE201" s="1"/>
      <c r="AH201" s="1"/>
      <c r="AI201" s="1"/>
      <c r="AL201" s="1"/>
    </row>
    <row r="202" spans="31:38" ht="14.4" x14ac:dyDescent="0.3">
      <c r="AE202" s="1"/>
      <c r="AH202" s="1"/>
      <c r="AI202" s="1"/>
      <c r="AL202" s="1"/>
    </row>
    <row r="203" spans="31:38" ht="14.4" x14ac:dyDescent="0.3">
      <c r="AE203" s="1"/>
      <c r="AH203" s="1"/>
      <c r="AI203" s="1"/>
      <c r="AL203" s="1"/>
    </row>
    <row r="204" spans="31:38" ht="14.4" x14ac:dyDescent="0.3">
      <c r="AE204" s="1"/>
      <c r="AH204" s="1"/>
      <c r="AI204" s="1"/>
      <c r="AL204" s="1"/>
    </row>
    <row r="205" spans="31:38" ht="14.4" x14ac:dyDescent="0.3">
      <c r="AE205" s="1"/>
      <c r="AH205" s="1"/>
      <c r="AI205" s="1"/>
      <c r="AL205" s="1"/>
    </row>
    <row r="206" spans="31:38" ht="14.4" x14ac:dyDescent="0.3">
      <c r="AE206" s="1"/>
      <c r="AH206" s="1"/>
      <c r="AI206" s="1"/>
      <c r="AL206" s="1"/>
    </row>
    <row r="207" spans="31:38" ht="14.4" x14ac:dyDescent="0.3">
      <c r="AE207" s="1"/>
      <c r="AH207" s="1"/>
      <c r="AI207" s="1"/>
      <c r="AL207" s="1"/>
    </row>
    <row r="208" spans="31:38" ht="14.4" x14ac:dyDescent="0.3">
      <c r="AE208" s="1"/>
      <c r="AH208" s="1"/>
      <c r="AI208" s="1"/>
      <c r="AL208" s="1"/>
    </row>
    <row r="209" spans="31:38" ht="14.4" x14ac:dyDescent="0.3">
      <c r="AE209" s="1"/>
      <c r="AH209" s="1"/>
      <c r="AI209" s="1"/>
      <c r="AL209" s="1"/>
    </row>
    <row r="210" spans="31:38" ht="14.4" x14ac:dyDescent="0.3">
      <c r="AE210" s="1"/>
      <c r="AH210" s="1"/>
      <c r="AI210" s="1"/>
      <c r="AL210" s="1"/>
    </row>
    <row r="211" spans="31:38" ht="14.4" x14ac:dyDescent="0.3">
      <c r="AE211" s="1"/>
      <c r="AH211" s="1"/>
      <c r="AI211" s="1"/>
      <c r="AL211" s="1"/>
    </row>
    <row r="212" spans="31:38" ht="14.4" x14ac:dyDescent="0.3">
      <c r="AE212" s="1"/>
      <c r="AH212" s="1"/>
      <c r="AI212" s="1"/>
      <c r="AL212" s="1"/>
    </row>
    <row r="213" spans="31:38" ht="14.4" x14ac:dyDescent="0.3">
      <c r="AE213" s="1"/>
      <c r="AH213" s="1"/>
      <c r="AI213" s="1"/>
      <c r="AL213" s="1"/>
    </row>
    <row r="214" spans="31:38" ht="14.4" x14ac:dyDescent="0.3">
      <c r="AE214" s="1"/>
      <c r="AH214" s="1"/>
      <c r="AI214" s="1"/>
      <c r="AL214" s="1"/>
    </row>
    <row r="215" spans="31:38" ht="14.4" x14ac:dyDescent="0.3">
      <c r="AE215" s="1"/>
      <c r="AH215" s="1"/>
      <c r="AI215" s="1"/>
      <c r="AL215" s="1"/>
    </row>
    <row r="216" spans="31:38" ht="14.4" x14ac:dyDescent="0.3">
      <c r="AE216" s="1"/>
      <c r="AH216" s="1"/>
      <c r="AI216" s="1"/>
      <c r="AL216" s="1"/>
    </row>
    <row r="217" spans="31:38" ht="14.4" x14ac:dyDescent="0.3">
      <c r="AE217" s="1"/>
      <c r="AH217" s="1"/>
      <c r="AI217" s="1"/>
      <c r="AL217" s="1"/>
    </row>
    <row r="218" spans="31:38" ht="14.4" x14ac:dyDescent="0.3">
      <c r="AE218" s="1"/>
      <c r="AH218" s="1"/>
      <c r="AI218" s="1"/>
      <c r="AL218" s="1"/>
    </row>
    <row r="219" spans="31:38" ht="14.4" x14ac:dyDescent="0.3">
      <c r="AE219" s="1"/>
      <c r="AH219" s="1"/>
      <c r="AI219" s="1"/>
      <c r="AL219" s="1"/>
    </row>
    <row r="220" spans="31:38" ht="14.4" x14ac:dyDescent="0.3">
      <c r="AE220" s="1"/>
      <c r="AH220" s="1"/>
      <c r="AI220" s="1"/>
      <c r="AL220" s="1"/>
    </row>
    <row r="221" spans="31:38" ht="14.4" x14ac:dyDescent="0.3">
      <c r="AE221" s="1"/>
      <c r="AH221" s="1"/>
      <c r="AI221" s="1"/>
      <c r="AL221" s="1"/>
    </row>
    <row r="222" spans="31:38" ht="14.4" x14ac:dyDescent="0.3">
      <c r="AE222" s="1"/>
      <c r="AH222" s="1"/>
      <c r="AI222" s="1"/>
      <c r="AL222" s="1"/>
    </row>
    <row r="223" spans="31:38" ht="14.4" x14ac:dyDescent="0.3">
      <c r="AE223" s="1"/>
      <c r="AH223" s="1"/>
      <c r="AI223" s="1"/>
      <c r="AL223" s="1"/>
    </row>
    <row r="224" spans="31:38" ht="14.4" x14ac:dyDescent="0.3">
      <c r="AE224" s="1"/>
      <c r="AH224" s="1"/>
      <c r="AI224" s="1"/>
      <c r="AL224" s="1"/>
    </row>
    <row r="225" spans="31:38" ht="14.4" x14ac:dyDescent="0.3">
      <c r="AE225" s="1"/>
      <c r="AH225" s="1"/>
      <c r="AI225" s="1"/>
      <c r="AL225" s="1"/>
    </row>
    <row r="226" spans="31:38" ht="14.4" x14ac:dyDescent="0.3">
      <c r="AE226" s="1"/>
      <c r="AH226" s="1"/>
      <c r="AI226" s="1"/>
      <c r="AL226" s="1"/>
    </row>
    <row r="227" spans="31:38" ht="14.4" x14ac:dyDescent="0.3">
      <c r="AE227" s="1"/>
      <c r="AH227" s="1"/>
      <c r="AI227" s="1"/>
      <c r="AL227" s="1"/>
    </row>
    <row r="228" spans="31:38" ht="14.4" x14ac:dyDescent="0.3">
      <c r="AE228" s="1"/>
      <c r="AH228" s="1"/>
      <c r="AI228" s="1"/>
      <c r="AL228" s="1"/>
    </row>
    <row r="229" spans="31:38" ht="14.4" x14ac:dyDescent="0.3">
      <c r="AE229" s="1"/>
      <c r="AH229" s="1"/>
      <c r="AI229" s="1"/>
      <c r="AL229" s="1"/>
    </row>
    <row r="230" spans="31:38" ht="14.4" x14ac:dyDescent="0.3">
      <c r="AE230" s="1"/>
      <c r="AH230" s="1"/>
      <c r="AI230" s="1"/>
      <c r="AL230" s="1"/>
    </row>
    <row r="231" spans="31:38" ht="14.4" x14ac:dyDescent="0.3">
      <c r="AE231" s="1"/>
      <c r="AH231" s="1"/>
      <c r="AI231" s="1"/>
      <c r="AL231" s="1"/>
    </row>
    <row r="232" spans="31:38" ht="14.4" x14ac:dyDescent="0.3">
      <c r="AE232" s="1"/>
      <c r="AH232" s="1"/>
      <c r="AI232" s="1"/>
      <c r="AL232" s="1"/>
    </row>
    <row r="233" spans="31:38" ht="14.4" x14ac:dyDescent="0.3">
      <c r="AE233" s="1"/>
      <c r="AH233" s="1"/>
      <c r="AI233" s="1"/>
      <c r="AL233" s="1"/>
    </row>
    <row r="234" spans="31:38" ht="14.4" x14ac:dyDescent="0.3">
      <c r="AE234" s="1"/>
      <c r="AH234" s="1"/>
      <c r="AI234" s="1"/>
      <c r="AL234" s="1"/>
    </row>
    <row r="235" spans="31:38" ht="14.4" x14ac:dyDescent="0.3">
      <c r="AE235" s="1"/>
      <c r="AH235" s="1"/>
      <c r="AI235" s="1"/>
      <c r="AL235" s="1"/>
    </row>
    <row r="236" spans="31:38" ht="14.4" x14ac:dyDescent="0.3">
      <c r="AE236" s="1"/>
      <c r="AH236" s="1"/>
      <c r="AI236" s="1"/>
      <c r="AL236" s="1"/>
    </row>
    <row r="237" spans="31:38" ht="14.4" x14ac:dyDescent="0.3">
      <c r="AE237" s="1"/>
      <c r="AH237" s="1"/>
      <c r="AI237" s="1"/>
      <c r="AL237" s="1"/>
    </row>
    <row r="238" spans="31:38" ht="14.4" x14ac:dyDescent="0.3">
      <c r="AE238" s="1"/>
      <c r="AH238" s="1"/>
      <c r="AI238" s="1"/>
      <c r="AL238" s="1"/>
    </row>
    <row r="239" spans="31:38" ht="14.4" x14ac:dyDescent="0.3">
      <c r="AE239" s="1"/>
      <c r="AH239" s="1"/>
      <c r="AI239" s="1"/>
      <c r="AL239" s="1"/>
    </row>
    <row r="240" spans="31:38" ht="14.4" x14ac:dyDescent="0.3">
      <c r="AE240" s="1"/>
      <c r="AH240" s="1"/>
      <c r="AI240" s="1"/>
      <c r="AL240" s="1"/>
    </row>
    <row r="241" spans="31:38" ht="14.4" x14ac:dyDescent="0.3">
      <c r="AE241" s="1"/>
      <c r="AH241" s="1"/>
      <c r="AI241" s="1"/>
      <c r="AL241" s="1"/>
    </row>
    <row r="242" spans="31:38" ht="14.4" x14ac:dyDescent="0.3">
      <c r="AE242" s="1"/>
      <c r="AH242" s="1"/>
      <c r="AI242" s="1"/>
      <c r="AL242" s="1"/>
    </row>
    <row r="243" spans="31:38" ht="14.4" x14ac:dyDescent="0.3">
      <c r="AE243" s="1"/>
      <c r="AH243" s="1"/>
      <c r="AI243" s="1"/>
      <c r="AL243" s="1"/>
    </row>
    <row r="244" spans="31:38" ht="14.4" x14ac:dyDescent="0.3">
      <c r="AE244" s="1"/>
      <c r="AH244" s="1"/>
      <c r="AI244" s="1"/>
      <c r="AL244" s="1"/>
    </row>
    <row r="245" spans="31:38" ht="14.4" x14ac:dyDescent="0.3">
      <c r="AE245" s="1"/>
      <c r="AH245" s="1"/>
      <c r="AI245" s="1"/>
      <c r="AL245" s="1"/>
    </row>
    <row r="246" spans="31:38" ht="14.4" x14ac:dyDescent="0.3">
      <c r="AE246" s="1"/>
      <c r="AH246" s="1"/>
      <c r="AI246" s="1"/>
      <c r="AL246" s="1"/>
    </row>
    <row r="247" spans="31:38" ht="14.4" x14ac:dyDescent="0.3">
      <c r="AE247" s="1"/>
      <c r="AH247" s="1"/>
      <c r="AI247" s="1"/>
      <c r="AL247" s="1"/>
    </row>
    <row r="248" spans="31:38" ht="14.4" x14ac:dyDescent="0.3">
      <c r="AE248" s="1"/>
      <c r="AH248" s="1"/>
      <c r="AI248" s="1"/>
      <c r="AL248" s="1"/>
    </row>
    <row r="249" spans="31:38" ht="14.4" x14ac:dyDescent="0.3">
      <c r="AE249" s="1"/>
      <c r="AH249" s="1"/>
      <c r="AI249" s="1"/>
      <c r="AL249" s="1"/>
    </row>
    <row r="250" spans="31:38" ht="14.4" x14ac:dyDescent="0.3">
      <c r="AE250" s="1"/>
      <c r="AH250" s="1"/>
      <c r="AI250" s="1"/>
      <c r="AL250" s="1"/>
    </row>
    <row r="251" spans="31:38" ht="14.4" x14ac:dyDescent="0.3">
      <c r="AE251" s="1"/>
      <c r="AH251" s="1"/>
      <c r="AI251" s="1"/>
      <c r="AL251" s="1"/>
    </row>
    <row r="252" spans="31:38" ht="14.4" x14ac:dyDescent="0.3">
      <c r="AE252" s="1"/>
      <c r="AH252" s="1"/>
      <c r="AI252" s="1"/>
      <c r="AL252" s="1"/>
    </row>
    <row r="253" spans="31:38" ht="14.4" x14ac:dyDescent="0.3">
      <c r="AE253" s="1"/>
      <c r="AH253" s="1"/>
      <c r="AI253" s="1"/>
      <c r="AL253" s="1"/>
    </row>
    <row r="254" spans="31:38" ht="14.4" x14ac:dyDescent="0.3">
      <c r="AE254" s="1"/>
      <c r="AH254" s="1"/>
      <c r="AI254" s="1"/>
      <c r="AL254" s="1"/>
    </row>
    <row r="255" spans="31:38" ht="14.4" x14ac:dyDescent="0.3">
      <c r="AE255" s="1"/>
      <c r="AH255" s="1"/>
      <c r="AI255" s="1"/>
      <c r="AL255" s="1"/>
    </row>
    <row r="256" spans="31:38" ht="14.4" x14ac:dyDescent="0.3">
      <c r="AE256" s="1"/>
      <c r="AH256" s="1"/>
      <c r="AI256" s="1"/>
      <c r="AL256" s="1"/>
    </row>
    <row r="257" spans="31:38" ht="14.4" x14ac:dyDescent="0.3">
      <c r="AE257" s="1"/>
      <c r="AH257" s="1"/>
      <c r="AI257" s="1"/>
      <c r="AL257" s="1"/>
    </row>
    <row r="258" spans="31:38" ht="14.4" x14ac:dyDescent="0.3">
      <c r="AE258" s="1"/>
      <c r="AH258" s="1"/>
      <c r="AI258" s="1"/>
      <c r="AL258" s="1"/>
    </row>
    <row r="259" spans="31:38" ht="14.4" x14ac:dyDescent="0.3">
      <c r="AE259" s="1"/>
      <c r="AH259" s="1"/>
      <c r="AI259" s="1"/>
      <c r="AL259" s="1"/>
    </row>
    <row r="260" spans="31:38" ht="14.4" x14ac:dyDescent="0.3">
      <c r="AE260" s="1"/>
      <c r="AH260" s="1"/>
      <c r="AI260" s="1"/>
      <c r="AL260" s="1"/>
    </row>
    <row r="261" spans="31:38" ht="14.4" x14ac:dyDescent="0.3">
      <c r="AE261" s="1"/>
      <c r="AH261" s="1"/>
      <c r="AI261" s="1"/>
      <c r="AL261" s="1"/>
    </row>
    <row r="262" spans="31:38" ht="14.4" x14ac:dyDescent="0.3">
      <c r="AE262" s="1"/>
      <c r="AH262" s="1"/>
      <c r="AI262" s="1"/>
      <c r="AL262" s="1"/>
    </row>
    <row r="263" spans="31:38" ht="14.4" x14ac:dyDescent="0.3">
      <c r="AE263" s="1"/>
      <c r="AH263" s="1"/>
      <c r="AI263" s="1"/>
      <c r="AL263" s="1"/>
    </row>
    <row r="264" spans="31:38" ht="14.4" x14ac:dyDescent="0.3">
      <c r="AE264" s="1"/>
      <c r="AH264" s="1"/>
      <c r="AI264" s="1"/>
      <c r="AL264" s="1"/>
    </row>
    <row r="265" spans="31:38" ht="14.4" x14ac:dyDescent="0.3">
      <c r="AE265" s="1"/>
      <c r="AH265" s="1"/>
      <c r="AI265" s="1"/>
      <c r="AL265" s="1"/>
    </row>
    <row r="266" spans="31:38" ht="14.4" x14ac:dyDescent="0.3">
      <c r="AE266" s="1"/>
      <c r="AH266" s="1"/>
      <c r="AI266" s="1"/>
      <c r="AL266" s="1"/>
    </row>
    <row r="267" spans="31:38" ht="14.4" x14ac:dyDescent="0.3">
      <c r="AE267" s="1"/>
      <c r="AH267" s="1"/>
      <c r="AI267" s="1"/>
      <c r="AL267" s="1"/>
    </row>
    <row r="268" spans="31:38" ht="14.4" x14ac:dyDescent="0.3">
      <c r="AE268" s="1"/>
      <c r="AH268" s="1"/>
      <c r="AI268" s="1"/>
      <c r="AL268" s="1"/>
    </row>
    <row r="269" spans="31:38" ht="14.4" x14ac:dyDescent="0.3">
      <c r="AE269" s="1"/>
      <c r="AH269" s="1"/>
      <c r="AI269" s="1"/>
      <c r="AL269" s="1"/>
    </row>
    <row r="270" spans="31:38" ht="14.4" x14ac:dyDescent="0.3">
      <c r="AE270" s="1"/>
      <c r="AH270" s="1"/>
      <c r="AI270" s="1"/>
      <c r="AL270" s="1"/>
    </row>
    <row r="271" spans="31:38" ht="14.4" x14ac:dyDescent="0.3">
      <c r="AE271" s="1"/>
      <c r="AH271" s="1"/>
      <c r="AI271" s="1"/>
      <c r="AL271" s="1"/>
    </row>
    <row r="272" spans="31:38" ht="14.4" x14ac:dyDescent="0.3">
      <c r="AE272" s="1"/>
      <c r="AH272" s="1"/>
      <c r="AI272" s="1"/>
      <c r="AL272" s="1"/>
    </row>
    <row r="273" spans="31:38" ht="14.4" x14ac:dyDescent="0.3">
      <c r="AE273" s="1"/>
      <c r="AH273" s="1"/>
      <c r="AI273" s="1"/>
      <c r="AL273" s="1"/>
    </row>
    <row r="274" spans="31:38" ht="14.4" x14ac:dyDescent="0.3">
      <c r="AE274" s="1"/>
      <c r="AH274" s="1"/>
      <c r="AI274" s="1"/>
      <c r="AL274" s="1"/>
    </row>
    <row r="275" spans="31:38" ht="14.4" x14ac:dyDescent="0.3">
      <c r="AE275" s="1"/>
      <c r="AH275" s="1"/>
      <c r="AI275" s="1"/>
      <c r="AL275" s="1"/>
    </row>
    <row r="276" spans="31:38" ht="14.4" x14ac:dyDescent="0.3">
      <c r="AE276" s="1"/>
      <c r="AH276" s="1"/>
      <c r="AI276" s="1"/>
      <c r="AL276" s="1"/>
    </row>
    <row r="277" spans="31:38" ht="14.4" x14ac:dyDescent="0.3">
      <c r="AE277" s="1"/>
      <c r="AH277" s="1"/>
      <c r="AI277" s="1"/>
      <c r="AL277" s="1"/>
    </row>
    <row r="278" spans="31:38" ht="14.4" x14ac:dyDescent="0.3">
      <c r="AE278" s="1"/>
      <c r="AH278" s="1"/>
      <c r="AI278" s="1"/>
      <c r="AL278" s="1"/>
    </row>
    <row r="279" spans="31:38" ht="14.4" x14ac:dyDescent="0.3">
      <c r="AE279" s="1"/>
      <c r="AH279" s="1"/>
      <c r="AI279" s="1"/>
      <c r="AL279" s="1"/>
    </row>
    <row r="280" spans="31:38" ht="14.4" x14ac:dyDescent="0.3">
      <c r="AE280" s="1"/>
      <c r="AH280" s="1"/>
      <c r="AI280" s="1"/>
      <c r="AL280" s="1"/>
    </row>
    <row r="281" spans="31:38" ht="14.4" x14ac:dyDescent="0.3">
      <c r="AE281" s="1"/>
      <c r="AH281" s="1"/>
      <c r="AI281" s="1"/>
      <c r="AL281" s="1"/>
    </row>
    <row r="282" spans="31:38" ht="14.4" x14ac:dyDescent="0.3">
      <c r="AE282" s="1"/>
      <c r="AH282" s="1"/>
      <c r="AI282" s="1"/>
      <c r="AL282" s="1"/>
    </row>
    <row r="283" spans="31:38" ht="14.4" x14ac:dyDescent="0.3">
      <c r="AE283" s="1"/>
      <c r="AH283" s="1"/>
      <c r="AI283" s="1"/>
      <c r="AL283" s="1"/>
    </row>
    <row r="284" spans="31:38" ht="14.4" x14ac:dyDescent="0.3">
      <c r="AE284" s="1"/>
      <c r="AH284" s="1"/>
      <c r="AI284" s="1"/>
      <c r="AL284" s="1"/>
    </row>
    <row r="285" spans="31:38" ht="14.4" x14ac:dyDescent="0.3">
      <c r="AE285" s="1"/>
      <c r="AH285" s="1"/>
      <c r="AI285" s="1"/>
      <c r="AL285" s="1"/>
    </row>
    <row r="286" spans="31:38" ht="14.4" x14ac:dyDescent="0.3">
      <c r="AE286" s="1"/>
      <c r="AH286" s="1"/>
      <c r="AI286" s="1"/>
      <c r="AL286" s="1"/>
    </row>
    <row r="287" spans="31:38" ht="14.4" x14ac:dyDescent="0.3">
      <c r="AE287" s="1"/>
      <c r="AH287" s="1"/>
      <c r="AI287" s="1"/>
      <c r="AL287" s="1"/>
    </row>
    <row r="288" spans="31:38" ht="14.4" x14ac:dyDescent="0.3">
      <c r="AE288" s="1"/>
      <c r="AH288" s="1"/>
      <c r="AI288" s="1"/>
      <c r="AL288" s="1"/>
    </row>
    <row r="289" spans="31:38" ht="14.4" x14ac:dyDescent="0.3">
      <c r="AE289" s="1"/>
      <c r="AH289" s="1"/>
      <c r="AI289" s="1"/>
      <c r="AL289" s="1"/>
    </row>
    <row r="290" spans="31:38" ht="14.4" x14ac:dyDescent="0.3">
      <c r="AE290" s="1"/>
      <c r="AH290" s="1"/>
      <c r="AI290" s="1"/>
      <c r="AL290" s="1"/>
    </row>
    <row r="291" spans="31:38" ht="14.4" x14ac:dyDescent="0.3">
      <c r="AE291" s="1"/>
      <c r="AH291" s="1"/>
      <c r="AI291" s="1"/>
      <c r="AL291" s="1"/>
    </row>
    <row r="292" spans="31:38" ht="14.4" x14ac:dyDescent="0.3">
      <c r="AE292" s="1"/>
      <c r="AH292" s="1"/>
      <c r="AI292" s="1"/>
      <c r="AL292" s="1"/>
    </row>
    <row r="293" spans="31:38" ht="14.4" x14ac:dyDescent="0.3">
      <c r="AE293" s="1"/>
      <c r="AH293" s="1"/>
      <c r="AI293" s="1"/>
      <c r="AL293" s="1"/>
    </row>
    <row r="294" spans="31:38" ht="14.4" x14ac:dyDescent="0.3">
      <c r="AE294" s="1"/>
      <c r="AH294" s="1"/>
      <c r="AI294" s="1"/>
      <c r="AL294" s="1"/>
    </row>
    <row r="295" spans="31:38" ht="14.4" x14ac:dyDescent="0.3">
      <c r="AE295" s="1"/>
      <c r="AH295" s="1"/>
      <c r="AI295" s="1"/>
      <c r="AL295" s="1"/>
    </row>
    <row r="296" spans="31:38" ht="14.4" x14ac:dyDescent="0.3">
      <c r="AE296" s="1"/>
      <c r="AH296" s="1"/>
      <c r="AI296" s="1"/>
      <c r="AL296" s="1"/>
    </row>
    <row r="297" spans="31:38" ht="14.4" x14ac:dyDescent="0.3">
      <c r="AE297" s="1"/>
      <c r="AH297" s="1"/>
      <c r="AI297" s="1"/>
      <c r="AL297" s="1"/>
    </row>
    <row r="298" spans="31:38" ht="14.4" x14ac:dyDescent="0.3">
      <c r="AE298" s="1"/>
      <c r="AH298" s="1"/>
      <c r="AI298" s="1"/>
      <c r="AL298" s="1"/>
    </row>
    <row r="299" spans="31:38" ht="14.4" x14ac:dyDescent="0.3">
      <c r="AE299" s="1"/>
      <c r="AH299" s="1"/>
      <c r="AI299" s="1"/>
      <c r="AL299" s="1"/>
    </row>
    <row r="300" spans="31:38" ht="14.4" x14ac:dyDescent="0.3">
      <c r="AE300" s="1"/>
      <c r="AH300" s="1"/>
      <c r="AI300" s="1"/>
      <c r="AL300" s="1"/>
    </row>
    <row r="301" spans="31:38" ht="14.4" x14ac:dyDescent="0.3">
      <c r="AE301" s="1"/>
      <c r="AH301" s="1"/>
      <c r="AI301" s="1"/>
      <c r="AL301" s="1"/>
    </row>
    <row r="302" spans="31:38" ht="14.4" x14ac:dyDescent="0.3">
      <c r="AE302" s="1"/>
      <c r="AH302" s="1"/>
      <c r="AI302" s="1"/>
      <c r="AL302" s="1"/>
    </row>
    <row r="303" spans="31:38" ht="14.4" x14ac:dyDescent="0.3">
      <c r="AE303" s="1"/>
      <c r="AH303" s="1"/>
      <c r="AI303" s="1"/>
      <c r="AL303" s="1"/>
    </row>
    <row r="304" spans="31:38" ht="14.4" x14ac:dyDescent="0.3">
      <c r="AE304" s="1"/>
      <c r="AH304" s="1"/>
      <c r="AI304" s="1"/>
      <c r="AL304" s="1"/>
    </row>
    <row r="305" spans="31:38" ht="14.4" x14ac:dyDescent="0.3">
      <c r="AE305" s="1"/>
      <c r="AH305" s="1"/>
      <c r="AI305" s="1"/>
      <c r="AL305" s="1"/>
    </row>
    <row r="306" spans="31:38" ht="14.4" x14ac:dyDescent="0.3">
      <c r="AE306" s="1"/>
      <c r="AH306" s="1"/>
      <c r="AI306" s="1"/>
      <c r="AL306" s="1"/>
    </row>
    <row r="307" spans="31:38" ht="14.4" x14ac:dyDescent="0.3">
      <c r="AE307" s="1"/>
      <c r="AH307" s="1"/>
      <c r="AI307" s="1"/>
      <c r="AL307" s="1"/>
    </row>
    <row r="308" spans="31:38" ht="14.4" x14ac:dyDescent="0.3">
      <c r="AE308" s="1"/>
      <c r="AH308" s="1"/>
      <c r="AI308" s="1"/>
      <c r="AL308" s="1"/>
    </row>
    <row r="309" spans="31:38" ht="14.4" x14ac:dyDescent="0.3">
      <c r="AE309" s="1"/>
      <c r="AH309" s="1"/>
      <c r="AI309" s="1"/>
      <c r="AL309" s="1"/>
    </row>
    <row r="310" spans="31:38" ht="14.4" x14ac:dyDescent="0.3">
      <c r="AE310" s="1"/>
      <c r="AH310" s="1"/>
      <c r="AI310" s="1"/>
      <c r="AL310" s="1"/>
    </row>
    <row r="311" spans="31:38" ht="14.4" x14ac:dyDescent="0.3">
      <c r="AE311" s="1"/>
      <c r="AH311" s="1"/>
      <c r="AI311" s="1"/>
      <c r="AL311" s="1"/>
    </row>
    <row r="312" spans="31:38" ht="14.4" x14ac:dyDescent="0.3">
      <c r="AE312" s="1"/>
      <c r="AH312" s="1"/>
      <c r="AI312" s="1"/>
      <c r="AL312" s="1"/>
    </row>
    <row r="313" spans="31:38" ht="14.4" x14ac:dyDescent="0.3">
      <c r="AE313" s="1"/>
      <c r="AH313" s="1"/>
      <c r="AI313" s="1"/>
      <c r="AL313" s="1"/>
    </row>
    <row r="314" spans="31:38" ht="14.4" x14ac:dyDescent="0.3">
      <c r="AE314" s="1"/>
      <c r="AH314" s="1"/>
      <c r="AI314" s="1"/>
      <c r="AL314" s="1"/>
    </row>
    <row r="315" spans="31:38" ht="14.4" x14ac:dyDescent="0.3">
      <c r="AE315" s="1"/>
      <c r="AH315" s="1"/>
      <c r="AI315" s="1"/>
      <c r="AL315" s="1"/>
    </row>
    <row r="316" spans="31:38" ht="14.4" x14ac:dyDescent="0.3">
      <c r="AE316" s="1"/>
      <c r="AH316" s="1"/>
      <c r="AI316" s="1"/>
      <c r="AL316" s="1"/>
    </row>
    <row r="317" spans="31:38" ht="14.4" x14ac:dyDescent="0.3">
      <c r="AE317" s="1"/>
      <c r="AH317" s="1"/>
      <c r="AI317" s="1"/>
      <c r="AL317" s="1"/>
    </row>
    <row r="318" spans="31:38" ht="14.4" x14ac:dyDescent="0.3">
      <c r="AE318" s="1"/>
      <c r="AH318" s="1"/>
      <c r="AI318" s="1"/>
      <c r="AL318" s="1"/>
    </row>
    <row r="319" spans="31:38" ht="14.4" x14ac:dyDescent="0.3">
      <c r="AE319" s="1"/>
      <c r="AH319" s="1"/>
      <c r="AI319" s="1"/>
      <c r="AL319" s="1"/>
    </row>
    <row r="320" spans="31:38" ht="14.4" x14ac:dyDescent="0.3">
      <c r="AE320" s="1"/>
      <c r="AH320" s="1"/>
      <c r="AI320" s="1"/>
      <c r="AL320" s="1"/>
    </row>
    <row r="321" spans="31:38" ht="14.4" x14ac:dyDescent="0.3">
      <c r="AE321" s="1"/>
      <c r="AH321" s="1"/>
      <c r="AI321" s="1"/>
      <c r="AL321" s="1"/>
    </row>
    <row r="322" spans="31:38" ht="14.4" x14ac:dyDescent="0.3">
      <c r="AE322" s="1"/>
      <c r="AH322" s="1"/>
      <c r="AI322" s="1"/>
      <c r="AL322" s="1"/>
    </row>
    <row r="323" spans="31:38" ht="14.4" x14ac:dyDescent="0.3">
      <c r="AE323" s="1"/>
      <c r="AH323" s="1"/>
      <c r="AI323" s="1"/>
      <c r="AL323" s="1"/>
    </row>
    <row r="324" spans="31:38" ht="14.4" x14ac:dyDescent="0.3">
      <c r="AE324" s="1"/>
      <c r="AH324" s="1"/>
      <c r="AI324" s="1"/>
      <c r="AL324" s="1"/>
    </row>
    <row r="325" spans="31:38" ht="14.4" x14ac:dyDescent="0.3">
      <c r="AE325" s="1"/>
      <c r="AH325" s="1"/>
      <c r="AI325" s="1"/>
      <c r="AL325" s="1"/>
    </row>
    <row r="326" spans="31:38" ht="14.4" x14ac:dyDescent="0.3">
      <c r="AE326" s="1"/>
      <c r="AH326" s="1"/>
      <c r="AI326" s="1"/>
      <c r="AL326" s="1"/>
    </row>
    <row r="327" spans="31:38" ht="14.4" x14ac:dyDescent="0.3">
      <c r="AE327" s="1"/>
      <c r="AH327" s="1"/>
      <c r="AI327" s="1"/>
      <c r="AL327" s="1"/>
    </row>
    <row r="328" spans="31:38" ht="14.4" x14ac:dyDescent="0.3">
      <c r="AE328" s="1"/>
      <c r="AH328" s="1"/>
      <c r="AI328" s="1"/>
      <c r="AL328" s="1"/>
    </row>
    <row r="329" spans="31:38" ht="14.4" x14ac:dyDescent="0.3">
      <c r="AE329" s="1"/>
      <c r="AH329" s="1"/>
      <c r="AI329" s="1"/>
      <c r="AL329" s="1"/>
    </row>
    <row r="330" spans="31:38" ht="14.4" x14ac:dyDescent="0.3">
      <c r="AE330" s="1"/>
      <c r="AH330" s="1"/>
      <c r="AI330" s="1"/>
      <c r="AL330" s="1"/>
    </row>
    <row r="331" spans="31:38" ht="14.4" x14ac:dyDescent="0.3">
      <c r="AE331" s="1"/>
      <c r="AH331" s="1"/>
      <c r="AI331" s="1"/>
      <c r="AL331" s="1"/>
    </row>
    <row r="332" spans="31:38" ht="14.4" x14ac:dyDescent="0.3">
      <c r="AE332" s="1"/>
      <c r="AH332" s="1"/>
      <c r="AI332" s="1"/>
      <c r="AL332" s="1"/>
    </row>
    <row r="333" spans="31:38" ht="14.4" x14ac:dyDescent="0.3">
      <c r="AE333" s="1"/>
      <c r="AH333" s="1"/>
      <c r="AI333" s="1"/>
      <c r="AL333" s="1"/>
    </row>
    <row r="334" spans="31:38" ht="14.4" x14ac:dyDescent="0.3">
      <c r="AE334" s="1"/>
      <c r="AH334" s="1"/>
      <c r="AI334" s="1"/>
      <c r="AL334" s="1"/>
    </row>
    <row r="335" spans="31:38" ht="14.4" x14ac:dyDescent="0.3">
      <c r="AE335" s="1"/>
      <c r="AH335" s="1"/>
      <c r="AI335" s="1"/>
      <c r="AL335" s="1"/>
    </row>
    <row r="336" spans="31:38" ht="14.4" x14ac:dyDescent="0.3">
      <c r="AE336" s="1"/>
      <c r="AH336" s="1"/>
      <c r="AI336" s="1"/>
      <c r="AL336" s="1"/>
    </row>
    <row r="337" spans="31:38" ht="14.4" x14ac:dyDescent="0.3">
      <c r="AE337" s="1"/>
      <c r="AH337" s="1"/>
      <c r="AI337" s="1"/>
      <c r="AL337" s="1"/>
    </row>
    <row r="338" spans="31:38" ht="14.4" x14ac:dyDescent="0.3">
      <c r="AE338" s="1"/>
      <c r="AH338" s="1"/>
      <c r="AI338" s="1"/>
      <c r="AL338" s="1"/>
    </row>
    <row r="339" spans="31:38" ht="14.4" x14ac:dyDescent="0.3">
      <c r="AE339" s="1"/>
      <c r="AH339" s="1"/>
      <c r="AI339" s="1"/>
      <c r="AL339" s="1"/>
    </row>
    <row r="340" spans="31:38" ht="14.4" x14ac:dyDescent="0.3">
      <c r="AE340" s="1"/>
      <c r="AH340" s="1"/>
      <c r="AI340" s="1"/>
      <c r="AL340" s="1"/>
    </row>
    <row r="341" spans="31:38" ht="14.4" x14ac:dyDescent="0.3">
      <c r="AE341" s="1"/>
      <c r="AH341" s="1"/>
      <c r="AI341" s="1"/>
      <c r="AL341" s="1"/>
    </row>
    <row r="342" spans="31:38" ht="14.4" x14ac:dyDescent="0.3">
      <c r="AE342" s="1"/>
      <c r="AH342" s="1"/>
      <c r="AI342" s="1"/>
      <c r="AL342" s="1"/>
    </row>
    <row r="343" spans="31:38" ht="14.4" x14ac:dyDescent="0.3">
      <c r="AE343" s="1"/>
      <c r="AH343" s="1"/>
      <c r="AI343" s="1"/>
      <c r="AL343" s="1"/>
    </row>
    <row r="344" spans="31:38" ht="14.4" x14ac:dyDescent="0.3">
      <c r="AE344" s="1"/>
      <c r="AH344" s="1"/>
      <c r="AI344" s="1"/>
      <c r="AL344" s="1"/>
    </row>
    <row r="345" spans="31:38" ht="14.4" x14ac:dyDescent="0.3">
      <c r="AE345" s="1"/>
      <c r="AH345" s="1"/>
      <c r="AI345" s="1"/>
      <c r="AL345" s="1"/>
    </row>
    <row r="346" spans="31:38" ht="14.4" x14ac:dyDescent="0.3">
      <c r="AE346" s="1"/>
      <c r="AH346" s="1"/>
      <c r="AI346" s="1"/>
      <c r="AL346" s="1"/>
    </row>
    <row r="347" spans="31:38" ht="14.4" x14ac:dyDescent="0.3">
      <c r="AE347" s="1"/>
      <c r="AH347" s="1"/>
      <c r="AI347" s="1"/>
      <c r="AL347" s="1"/>
    </row>
    <row r="348" spans="31:38" ht="14.4" x14ac:dyDescent="0.3">
      <c r="AE348" s="1"/>
      <c r="AH348" s="1"/>
      <c r="AI348" s="1"/>
      <c r="AL348" s="1"/>
    </row>
    <row r="349" spans="31:38" ht="14.4" x14ac:dyDescent="0.3">
      <c r="AE349" s="1"/>
      <c r="AH349" s="1"/>
      <c r="AI349" s="1"/>
      <c r="AL349" s="1"/>
    </row>
    <row r="350" spans="31:38" ht="14.4" x14ac:dyDescent="0.3">
      <c r="AE350" s="1"/>
      <c r="AH350" s="1"/>
      <c r="AI350" s="1"/>
      <c r="AL350" s="1"/>
    </row>
    <row r="351" spans="31:38" ht="14.4" x14ac:dyDescent="0.3">
      <c r="AE351" s="1"/>
      <c r="AH351" s="1"/>
      <c r="AI351" s="1"/>
      <c r="AL351" s="1"/>
    </row>
    <row r="352" spans="31:38" ht="14.4" x14ac:dyDescent="0.3">
      <c r="AE352" s="1"/>
      <c r="AH352" s="1"/>
      <c r="AI352" s="1"/>
      <c r="AL352" s="1"/>
    </row>
    <row r="353" spans="31:38" ht="14.4" x14ac:dyDescent="0.3">
      <c r="AE353" s="1"/>
      <c r="AH353" s="1"/>
      <c r="AI353" s="1"/>
      <c r="AL353" s="1"/>
    </row>
    <row r="354" spans="31:38" ht="14.4" x14ac:dyDescent="0.3">
      <c r="AE354" s="1"/>
      <c r="AH354" s="1"/>
      <c r="AI354" s="1"/>
      <c r="AL354" s="1"/>
    </row>
    <row r="355" spans="31:38" ht="14.4" x14ac:dyDescent="0.3">
      <c r="AE355" s="1"/>
      <c r="AH355" s="1"/>
      <c r="AI355" s="1"/>
      <c r="AL355" s="1"/>
    </row>
    <row r="356" spans="31:38" ht="14.4" x14ac:dyDescent="0.3">
      <c r="AE356" s="1"/>
      <c r="AH356" s="1"/>
      <c r="AI356" s="1"/>
      <c r="AL356" s="1"/>
    </row>
    <row r="357" spans="31:38" ht="14.4" x14ac:dyDescent="0.3">
      <c r="AE357" s="1"/>
      <c r="AH357" s="1"/>
      <c r="AI357" s="1"/>
      <c r="AL357" s="1"/>
    </row>
    <row r="358" spans="31:38" ht="14.4" x14ac:dyDescent="0.3">
      <c r="AE358" s="1"/>
      <c r="AH358" s="1"/>
      <c r="AI358" s="1"/>
      <c r="AL358" s="1"/>
    </row>
    <row r="359" spans="31:38" ht="14.4" x14ac:dyDescent="0.3">
      <c r="AE359" s="1"/>
      <c r="AH359" s="1"/>
      <c r="AI359" s="1"/>
      <c r="AL359" s="1"/>
    </row>
    <row r="360" spans="31:38" ht="14.4" x14ac:dyDescent="0.3">
      <c r="AE360" s="1"/>
      <c r="AH360" s="1"/>
      <c r="AI360" s="1"/>
      <c r="AL360" s="1"/>
    </row>
    <row r="361" spans="31:38" ht="14.4" x14ac:dyDescent="0.3">
      <c r="AE361" s="1"/>
      <c r="AH361" s="1"/>
      <c r="AI361" s="1"/>
      <c r="AL361" s="1"/>
    </row>
    <row r="362" spans="31:38" ht="14.4" x14ac:dyDescent="0.3">
      <c r="AE362" s="1"/>
      <c r="AH362" s="1"/>
      <c r="AI362" s="1"/>
      <c r="AL362" s="1"/>
    </row>
    <row r="363" spans="31:38" ht="14.4" x14ac:dyDescent="0.3">
      <c r="AE363" s="1"/>
      <c r="AH363" s="1"/>
      <c r="AI363" s="1"/>
      <c r="AL363" s="1"/>
    </row>
    <row r="364" spans="31:38" ht="14.4" x14ac:dyDescent="0.3">
      <c r="AE364" s="1"/>
      <c r="AH364" s="1"/>
      <c r="AI364" s="1"/>
      <c r="AL364" s="1"/>
    </row>
    <row r="365" spans="31:38" ht="14.4" x14ac:dyDescent="0.3">
      <c r="AE365" s="1"/>
      <c r="AH365" s="1"/>
      <c r="AI365" s="1"/>
      <c r="AL365" s="1"/>
    </row>
    <row r="366" spans="31:38" ht="14.4" x14ac:dyDescent="0.3">
      <c r="AE366" s="1"/>
      <c r="AH366" s="1"/>
      <c r="AI366" s="1"/>
      <c r="AL366" s="1"/>
    </row>
    <row r="367" spans="31:38" ht="14.4" x14ac:dyDescent="0.3">
      <c r="AE367" s="1"/>
      <c r="AH367" s="1"/>
      <c r="AI367" s="1"/>
      <c r="AL367" s="1"/>
    </row>
    <row r="368" spans="31:38" ht="14.4" x14ac:dyDescent="0.3">
      <c r="AE368" s="1"/>
      <c r="AH368" s="1"/>
      <c r="AI368" s="1"/>
      <c r="AL368" s="1"/>
    </row>
    <row r="369" spans="31:38" ht="14.4" x14ac:dyDescent="0.3">
      <c r="AE369" s="1"/>
      <c r="AH369" s="1"/>
      <c r="AI369" s="1"/>
      <c r="AL369" s="1"/>
    </row>
    <row r="370" spans="31:38" ht="14.4" x14ac:dyDescent="0.3">
      <c r="AE370" s="1"/>
      <c r="AH370" s="1"/>
      <c r="AI370" s="1"/>
      <c r="AL370" s="1"/>
    </row>
    <row r="371" spans="31:38" ht="14.4" x14ac:dyDescent="0.3">
      <c r="AE371" s="1"/>
      <c r="AH371" s="1"/>
      <c r="AI371" s="1"/>
      <c r="AL371" s="1"/>
    </row>
    <row r="372" spans="31:38" ht="14.4" x14ac:dyDescent="0.3">
      <c r="AE372" s="1"/>
      <c r="AH372" s="1"/>
      <c r="AI372" s="1"/>
      <c r="AL372" s="1"/>
    </row>
    <row r="373" spans="31:38" ht="14.4" x14ac:dyDescent="0.3">
      <c r="AE373" s="1"/>
      <c r="AH373" s="1"/>
      <c r="AI373" s="1"/>
      <c r="AL373" s="1"/>
    </row>
    <row r="374" spans="31:38" ht="14.4" x14ac:dyDescent="0.3">
      <c r="AE374" s="1"/>
      <c r="AH374" s="1"/>
      <c r="AI374" s="1"/>
      <c r="AL374" s="1"/>
    </row>
    <row r="375" spans="31:38" ht="14.4" x14ac:dyDescent="0.3">
      <c r="AE375" s="1"/>
      <c r="AH375" s="1"/>
      <c r="AI375" s="1"/>
      <c r="AL375" s="1"/>
    </row>
    <row r="376" spans="31:38" ht="14.4" x14ac:dyDescent="0.3">
      <c r="AE376" s="1"/>
      <c r="AH376" s="1"/>
      <c r="AI376" s="1"/>
      <c r="AL376" s="1"/>
    </row>
    <row r="377" spans="31:38" ht="14.4" x14ac:dyDescent="0.3">
      <c r="AE377" s="1"/>
      <c r="AH377" s="1"/>
      <c r="AI377" s="1"/>
      <c r="AL377" s="1"/>
    </row>
    <row r="378" spans="31:38" ht="14.4" x14ac:dyDescent="0.3">
      <c r="AE378" s="1"/>
      <c r="AH378" s="1"/>
      <c r="AI378" s="1"/>
      <c r="AL378" s="1"/>
    </row>
    <row r="379" spans="31:38" ht="14.4" x14ac:dyDescent="0.3">
      <c r="AE379" s="1"/>
      <c r="AH379" s="1"/>
      <c r="AI379" s="1"/>
      <c r="AL379" s="1"/>
    </row>
    <row r="380" spans="31:38" ht="14.4" x14ac:dyDescent="0.3">
      <c r="AE380" s="1"/>
      <c r="AH380" s="1"/>
      <c r="AI380" s="1"/>
      <c r="AL380" s="1"/>
    </row>
    <row r="381" spans="31:38" ht="14.4" x14ac:dyDescent="0.3">
      <c r="AE381" s="1"/>
      <c r="AH381" s="1"/>
      <c r="AI381" s="1"/>
      <c r="AL381" s="1"/>
    </row>
    <row r="382" spans="31:38" ht="14.4" x14ac:dyDescent="0.3">
      <c r="AE382" s="1"/>
      <c r="AH382" s="1"/>
      <c r="AI382" s="1"/>
      <c r="AL382" s="1"/>
    </row>
    <row r="383" spans="31:38" ht="14.4" x14ac:dyDescent="0.3">
      <c r="AE383" s="1"/>
      <c r="AH383" s="1"/>
      <c r="AI383" s="1"/>
      <c r="AL383" s="1"/>
    </row>
    <row r="384" spans="31:38" ht="14.4" x14ac:dyDescent="0.3">
      <c r="AE384" s="1"/>
      <c r="AH384" s="1"/>
      <c r="AI384" s="1"/>
      <c r="AL384" s="1"/>
    </row>
    <row r="385" spans="31:38" ht="14.4" x14ac:dyDescent="0.3">
      <c r="AE385" s="1"/>
      <c r="AH385" s="1"/>
      <c r="AI385" s="1"/>
      <c r="AL385" s="1"/>
    </row>
    <row r="386" spans="31:38" ht="14.4" x14ac:dyDescent="0.3">
      <c r="AE386" s="1"/>
      <c r="AH386" s="1"/>
      <c r="AI386" s="1"/>
      <c r="AL386" s="1"/>
    </row>
    <row r="387" spans="31:38" ht="14.4" x14ac:dyDescent="0.3">
      <c r="AE387" s="1"/>
      <c r="AH387" s="1"/>
      <c r="AI387" s="1"/>
      <c r="AL387" s="1"/>
    </row>
    <row r="388" spans="31:38" ht="14.4" x14ac:dyDescent="0.3">
      <c r="AE388" s="1"/>
      <c r="AH388" s="1"/>
      <c r="AI388" s="1"/>
      <c r="AL388" s="1"/>
    </row>
    <row r="389" spans="31:38" ht="14.4" x14ac:dyDescent="0.3">
      <c r="AE389" s="1"/>
      <c r="AH389" s="1"/>
      <c r="AI389" s="1"/>
      <c r="AL389" s="1"/>
    </row>
    <row r="390" spans="31:38" ht="14.4" x14ac:dyDescent="0.3">
      <c r="AE390" s="1"/>
      <c r="AH390" s="1"/>
      <c r="AI390" s="1"/>
      <c r="AL390" s="1"/>
    </row>
    <row r="391" spans="31:38" ht="14.4" x14ac:dyDescent="0.3">
      <c r="AE391" s="1"/>
      <c r="AH391" s="1"/>
      <c r="AI391" s="1"/>
      <c r="AL391" s="1"/>
    </row>
    <row r="392" spans="31:38" ht="14.4" x14ac:dyDescent="0.3">
      <c r="AE392" s="1"/>
      <c r="AH392" s="1"/>
      <c r="AI392" s="1"/>
      <c r="AL392" s="1"/>
    </row>
    <row r="393" spans="31:38" ht="14.4" x14ac:dyDescent="0.3">
      <c r="AE393" s="1"/>
      <c r="AH393" s="1"/>
      <c r="AI393" s="1"/>
      <c r="AL393" s="1"/>
    </row>
    <row r="394" spans="31:38" ht="14.4" x14ac:dyDescent="0.3">
      <c r="AE394" s="1"/>
      <c r="AH394" s="1"/>
      <c r="AI394" s="1"/>
      <c r="AL394" s="1"/>
    </row>
    <row r="395" spans="31:38" ht="14.4" x14ac:dyDescent="0.3">
      <c r="AE395" s="1"/>
      <c r="AH395" s="1"/>
      <c r="AI395" s="1"/>
      <c r="AL395" s="1"/>
    </row>
    <row r="396" spans="31:38" ht="14.4" x14ac:dyDescent="0.3">
      <c r="AE396" s="1"/>
      <c r="AH396" s="1"/>
      <c r="AI396" s="1"/>
      <c r="AL396" s="1"/>
    </row>
    <row r="397" spans="31:38" ht="14.4" x14ac:dyDescent="0.3">
      <c r="AE397" s="1"/>
      <c r="AH397" s="1"/>
      <c r="AI397" s="1"/>
      <c r="AL397" s="1"/>
    </row>
    <row r="398" spans="31:38" ht="14.4" x14ac:dyDescent="0.3">
      <c r="AE398" s="1"/>
      <c r="AH398" s="1"/>
      <c r="AI398" s="1"/>
      <c r="AL398" s="1"/>
    </row>
    <row r="399" spans="31:38" ht="14.4" x14ac:dyDescent="0.3">
      <c r="AE399" s="1"/>
      <c r="AH399" s="1"/>
      <c r="AI399" s="1"/>
      <c r="AL399" s="1"/>
    </row>
    <row r="400" spans="31:38" ht="14.4" x14ac:dyDescent="0.3">
      <c r="AE400" s="1"/>
      <c r="AH400" s="1"/>
      <c r="AI400" s="1"/>
      <c r="AL400" s="1"/>
    </row>
    <row r="401" spans="31:38" ht="14.4" x14ac:dyDescent="0.3">
      <c r="AE401" s="1"/>
      <c r="AH401" s="1"/>
      <c r="AI401" s="1"/>
      <c r="AL401" s="1"/>
    </row>
    <row r="402" spans="31:38" ht="14.4" x14ac:dyDescent="0.3">
      <c r="AE402" s="1"/>
      <c r="AH402" s="1"/>
      <c r="AI402" s="1"/>
      <c r="AL402" s="1"/>
    </row>
    <row r="403" spans="31:38" ht="14.4" x14ac:dyDescent="0.3">
      <c r="AE403" s="1"/>
      <c r="AH403" s="1"/>
      <c r="AI403" s="1"/>
      <c r="AL403" s="1"/>
    </row>
    <row r="404" spans="31:38" ht="14.4" x14ac:dyDescent="0.3">
      <c r="AE404" s="1"/>
      <c r="AH404" s="1"/>
      <c r="AI404" s="1"/>
      <c r="AL404" s="1"/>
    </row>
    <row r="405" spans="31:38" ht="14.4" x14ac:dyDescent="0.3">
      <c r="AE405" s="1"/>
      <c r="AH405" s="1"/>
      <c r="AI405" s="1"/>
      <c r="AL405" s="1"/>
    </row>
    <row r="406" spans="31:38" ht="14.4" x14ac:dyDescent="0.3">
      <c r="AE406" s="1"/>
      <c r="AH406" s="1"/>
      <c r="AI406" s="1"/>
      <c r="AL406" s="1"/>
    </row>
    <row r="407" spans="31:38" ht="14.4" x14ac:dyDescent="0.3">
      <c r="AE407" s="1"/>
      <c r="AH407" s="1"/>
      <c r="AI407" s="1"/>
      <c r="AL407" s="1"/>
    </row>
    <row r="408" spans="31:38" ht="14.4" x14ac:dyDescent="0.3">
      <c r="AE408" s="1"/>
      <c r="AH408" s="1"/>
      <c r="AI408" s="1"/>
      <c r="AL408" s="1"/>
    </row>
    <row r="409" spans="31:38" ht="14.4" x14ac:dyDescent="0.3">
      <c r="AE409" s="1"/>
      <c r="AH409" s="1"/>
      <c r="AI409" s="1"/>
      <c r="AL409" s="1"/>
    </row>
    <row r="410" spans="31:38" ht="14.4" x14ac:dyDescent="0.3">
      <c r="AE410" s="1"/>
      <c r="AH410" s="1"/>
      <c r="AI410" s="1"/>
      <c r="AL410" s="1"/>
    </row>
    <row r="411" spans="31:38" ht="14.4" x14ac:dyDescent="0.3">
      <c r="AE411" s="1"/>
      <c r="AH411" s="1"/>
      <c r="AI411" s="1"/>
      <c r="AL411" s="1"/>
    </row>
    <row r="412" spans="31:38" ht="14.4" x14ac:dyDescent="0.3">
      <c r="AE412" s="1"/>
      <c r="AH412" s="1"/>
      <c r="AI412" s="1"/>
      <c r="AL412" s="1"/>
    </row>
    <row r="413" spans="31:38" ht="14.4" x14ac:dyDescent="0.3">
      <c r="AE413" s="1"/>
      <c r="AH413" s="1"/>
      <c r="AI413" s="1"/>
      <c r="AL413" s="1"/>
    </row>
    <row r="414" spans="31:38" ht="14.4" x14ac:dyDescent="0.3">
      <c r="AE414" s="1"/>
      <c r="AH414" s="1"/>
      <c r="AI414" s="1"/>
      <c r="AL414" s="1"/>
    </row>
    <row r="415" spans="31:38" ht="14.4" x14ac:dyDescent="0.3">
      <c r="AE415" s="1"/>
      <c r="AH415" s="1"/>
      <c r="AI415" s="1"/>
      <c r="AL415" s="1"/>
    </row>
    <row r="416" spans="31:38" ht="14.4" x14ac:dyDescent="0.3">
      <c r="AE416" s="1"/>
      <c r="AH416" s="1"/>
      <c r="AI416" s="1"/>
      <c r="AL416" s="1"/>
    </row>
    <row r="417" spans="31:38" ht="14.4" x14ac:dyDescent="0.3">
      <c r="AE417" s="1"/>
      <c r="AH417" s="1"/>
      <c r="AI417" s="1"/>
      <c r="AL417" s="1"/>
    </row>
    <row r="418" spans="31:38" ht="14.4" x14ac:dyDescent="0.3">
      <c r="AE418" s="1"/>
      <c r="AH418" s="1"/>
      <c r="AI418" s="1"/>
      <c r="AL418" s="1"/>
    </row>
    <row r="419" spans="31:38" ht="14.4" x14ac:dyDescent="0.3">
      <c r="AE419" s="1"/>
      <c r="AH419" s="1"/>
      <c r="AI419" s="1"/>
      <c r="AL419" s="1"/>
    </row>
    <row r="420" spans="31:38" ht="14.4" x14ac:dyDescent="0.3">
      <c r="AE420" s="1"/>
      <c r="AH420" s="1"/>
      <c r="AI420" s="1"/>
      <c r="AL420" s="1"/>
    </row>
    <row r="421" spans="31:38" ht="14.4" x14ac:dyDescent="0.3">
      <c r="AE421" s="1"/>
      <c r="AH421" s="1"/>
      <c r="AI421" s="1"/>
      <c r="AL421" s="1"/>
    </row>
    <row r="422" spans="31:38" ht="14.4" x14ac:dyDescent="0.3">
      <c r="AE422" s="1"/>
      <c r="AH422" s="1"/>
      <c r="AI422" s="1"/>
      <c r="AL422" s="1"/>
    </row>
    <row r="423" spans="31:38" ht="14.4" x14ac:dyDescent="0.3">
      <c r="AE423" s="1"/>
      <c r="AH423" s="1"/>
      <c r="AI423" s="1"/>
      <c r="AL423" s="1"/>
    </row>
    <row r="424" spans="31:38" ht="14.4" x14ac:dyDescent="0.3">
      <c r="AE424" s="1"/>
      <c r="AH424" s="1"/>
      <c r="AI424" s="1"/>
      <c r="AL424" s="1"/>
    </row>
    <row r="425" spans="31:38" ht="14.4" x14ac:dyDescent="0.3">
      <c r="AE425" s="1"/>
      <c r="AH425" s="1"/>
      <c r="AI425" s="1"/>
      <c r="AL425" s="1"/>
    </row>
    <row r="426" spans="31:38" ht="14.4" x14ac:dyDescent="0.3">
      <c r="AE426" s="1"/>
      <c r="AH426" s="1"/>
      <c r="AI426" s="1"/>
      <c r="AL426" s="1"/>
    </row>
    <row r="427" spans="31:38" ht="14.4" x14ac:dyDescent="0.3">
      <c r="AE427" s="1"/>
      <c r="AH427" s="1"/>
      <c r="AI427" s="1"/>
      <c r="AL427" s="1"/>
    </row>
    <row r="428" spans="31:38" ht="14.4" x14ac:dyDescent="0.3">
      <c r="AE428" s="1"/>
      <c r="AH428" s="1"/>
      <c r="AI428" s="1"/>
      <c r="AL428" s="1"/>
    </row>
    <row r="429" spans="31:38" ht="14.4" x14ac:dyDescent="0.3">
      <c r="AE429" s="1"/>
      <c r="AH429" s="1"/>
      <c r="AI429" s="1"/>
      <c r="AL429" s="1"/>
    </row>
    <row r="430" spans="31:38" ht="14.4" x14ac:dyDescent="0.3">
      <c r="AE430" s="1"/>
      <c r="AH430" s="1"/>
      <c r="AI430" s="1"/>
      <c r="AL430" s="1"/>
    </row>
    <row r="431" spans="31:38" ht="14.4" x14ac:dyDescent="0.3">
      <c r="AE431" s="1"/>
      <c r="AH431" s="1"/>
      <c r="AI431" s="1"/>
      <c r="AL431" s="1"/>
    </row>
    <row r="432" spans="31:38" ht="14.4" x14ac:dyDescent="0.3">
      <c r="AE432" s="1"/>
      <c r="AH432" s="1"/>
      <c r="AI432" s="1"/>
      <c r="AL432" s="1"/>
    </row>
    <row r="433" spans="31:38" ht="14.4" x14ac:dyDescent="0.3">
      <c r="AE433" s="1"/>
      <c r="AH433" s="1"/>
      <c r="AI433" s="1"/>
      <c r="AL433" s="1"/>
    </row>
    <row r="434" spans="31:38" ht="14.4" x14ac:dyDescent="0.3">
      <c r="AE434" s="1"/>
      <c r="AH434" s="1"/>
      <c r="AI434" s="1"/>
      <c r="AL434" s="1"/>
    </row>
    <row r="435" spans="31:38" ht="14.4" x14ac:dyDescent="0.3">
      <c r="AE435" s="1"/>
      <c r="AH435" s="1"/>
      <c r="AI435" s="1"/>
      <c r="AL435" s="1"/>
    </row>
    <row r="436" spans="31:38" ht="14.4" x14ac:dyDescent="0.3">
      <c r="AE436" s="1"/>
      <c r="AH436" s="1"/>
      <c r="AI436" s="1"/>
      <c r="AL436" s="1"/>
    </row>
    <row r="437" spans="31:38" ht="14.4" x14ac:dyDescent="0.3">
      <c r="AE437" s="1"/>
      <c r="AH437" s="1"/>
      <c r="AI437" s="1"/>
      <c r="AL437" s="1"/>
    </row>
    <row r="438" spans="31:38" ht="14.4" x14ac:dyDescent="0.3">
      <c r="AE438" s="1"/>
      <c r="AH438" s="1"/>
      <c r="AI438" s="1"/>
      <c r="AL438" s="1"/>
    </row>
    <row r="439" spans="31:38" ht="14.4" x14ac:dyDescent="0.3">
      <c r="AE439" s="1"/>
      <c r="AH439" s="1"/>
      <c r="AI439" s="1"/>
      <c r="AL439" s="1"/>
    </row>
    <row r="440" spans="31:38" ht="14.4" x14ac:dyDescent="0.3">
      <c r="AE440" s="1"/>
      <c r="AH440" s="1"/>
      <c r="AI440" s="1"/>
      <c r="AL440" s="1"/>
    </row>
    <row r="441" spans="31:38" ht="14.4" x14ac:dyDescent="0.3">
      <c r="AE441" s="1"/>
      <c r="AH441" s="1"/>
      <c r="AI441" s="1"/>
      <c r="AL441" s="1"/>
    </row>
    <row r="442" spans="31:38" ht="14.4" x14ac:dyDescent="0.3">
      <c r="AE442" s="1"/>
      <c r="AH442" s="1"/>
      <c r="AI442" s="1"/>
      <c r="AL442" s="1"/>
    </row>
    <row r="443" spans="31:38" ht="14.4" x14ac:dyDescent="0.3">
      <c r="AE443" s="1"/>
      <c r="AH443" s="1"/>
      <c r="AI443" s="1"/>
      <c r="AL443" s="1"/>
    </row>
    <row r="444" spans="31:38" ht="14.4" x14ac:dyDescent="0.3">
      <c r="AE444" s="1"/>
      <c r="AH444" s="1"/>
      <c r="AI444" s="1"/>
      <c r="AL444" s="1"/>
    </row>
    <row r="445" spans="31:38" ht="14.4" x14ac:dyDescent="0.3">
      <c r="AE445" s="1"/>
      <c r="AH445" s="1"/>
      <c r="AI445" s="1"/>
      <c r="AL445" s="1"/>
    </row>
    <row r="446" spans="31:38" ht="14.4" x14ac:dyDescent="0.3">
      <c r="AE446" s="1"/>
      <c r="AH446" s="1"/>
      <c r="AI446" s="1"/>
      <c r="AL446" s="1"/>
    </row>
    <row r="447" spans="31:38" ht="14.4" x14ac:dyDescent="0.3">
      <c r="AE447" s="1"/>
      <c r="AH447" s="1"/>
      <c r="AI447" s="1"/>
      <c r="AL447" s="1"/>
    </row>
    <row r="448" spans="31:38" ht="14.4" x14ac:dyDescent="0.3">
      <c r="AE448" s="1"/>
      <c r="AH448" s="1"/>
      <c r="AI448" s="1"/>
      <c r="AL448" s="1"/>
    </row>
    <row r="449" spans="31:38" ht="14.4" x14ac:dyDescent="0.3">
      <c r="AE449" s="1"/>
      <c r="AH449" s="1"/>
      <c r="AI449" s="1"/>
      <c r="AL449" s="1"/>
    </row>
    <row r="450" spans="31:38" ht="14.4" x14ac:dyDescent="0.3">
      <c r="AE450" s="1"/>
      <c r="AH450" s="1"/>
      <c r="AI450" s="1"/>
      <c r="AL450" s="1"/>
    </row>
    <row r="451" spans="31:38" ht="14.4" x14ac:dyDescent="0.3">
      <c r="AE451" s="1"/>
      <c r="AH451" s="1"/>
      <c r="AI451" s="1"/>
      <c r="AL451" s="1"/>
    </row>
    <row r="452" spans="31:38" ht="14.4" x14ac:dyDescent="0.3">
      <c r="AE452" s="1"/>
      <c r="AH452" s="1"/>
      <c r="AI452" s="1"/>
      <c r="AL452" s="1"/>
    </row>
    <row r="453" spans="31:38" ht="14.4" x14ac:dyDescent="0.3">
      <c r="AE453" s="1"/>
      <c r="AH453" s="1"/>
      <c r="AI453" s="1"/>
      <c r="AL453" s="1"/>
    </row>
    <row r="454" spans="31:38" ht="14.4" x14ac:dyDescent="0.3">
      <c r="AE454" s="1"/>
      <c r="AH454" s="1"/>
      <c r="AI454" s="1"/>
      <c r="AL454" s="1"/>
    </row>
    <row r="455" spans="31:38" ht="14.4" x14ac:dyDescent="0.3">
      <c r="AE455" s="1"/>
      <c r="AH455" s="1"/>
      <c r="AI455" s="1"/>
      <c r="AL455" s="1"/>
    </row>
    <row r="456" spans="31:38" ht="14.4" x14ac:dyDescent="0.3">
      <c r="AE456" s="1"/>
      <c r="AH456" s="1"/>
      <c r="AI456" s="1"/>
      <c r="AL456" s="1"/>
    </row>
    <row r="457" spans="31:38" ht="14.4" x14ac:dyDescent="0.3">
      <c r="AE457" s="1"/>
      <c r="AH457" s="1"/>
      <c r="AI457" s="1"/>
      <c r="AL457" s="1"/>
    </row>
    <row r="458" spans="31:38" ht="14.4" x14ac:dyDescent="0.3">
      <c r="AE458" s="1"/>
      <c r="AH458" s="1"/>
      <c r="AI458" s="1"/>
      <c r="AL458" s="1"/>
    </row>
    <row r="459" spans="31:38" ht="14.4" x14ac:dyDescent="0.3">
      <c r="AE459" s="1"/>
      <c r="AH459" s="1"/>
      <c r="AI459" s="1"/>
      <c r="AL459" s="1"/>
    </row>
    <row r="460" spans="31:38" ht="14.4" x14ac:dyDescent="0.3">
      <c r="AE460" s="1"/>
      <c r="AH460" s="1"/>
      <c r="AI460" s="1"/>
      <c r="AL460" s="1"/>
    </row>
    <row r="461" spans="31:38" ht="14.4" x14ac:dyDescent="0.3">
      <c r="AE461" s="1"/>
      <c r="AH461" s="1"/>
      <c r="AI461" s="1"/>
      <c r="AL461" s="1"/>
    </row>
    <row r="462" spans="31:38" ht="14.4" x14ac:dyDescent="0.3">
      <c r="AE462" s="1"/>
      <c r="AH462" s="1"/>
      <c r="AI462" s="1"/>
      <c r="AL462" s="1"/>
    </row>
    <row r="463" spans="31:38" ht="14.4" x14ac:dyDescent="0.3">
      <c r="AE463" s="1"/>
      <c r="AH463" s="1"/>
      <c r="AI463" s="1"/>
      <c r="AL463" s="1"/>
    </row>
    <row r="464" spans="31:38" ht="14.4" x14ac:dyDescent="0.3">
      <c r="AE464" s="1"/>
      <c r="AH464" s="1"/>
      <c r="AI464" s="1"/>
      <c r="AL464" s="1"/>
    </row>
    <row r="465" spans="31:38" ht="14.4" x14ac:dyDescent="0.3">
      <c r="AE465" s="1"/>
      <c r="AH465" s="1"/>
      <c r="AI465" s="1"/>
      <c r="AL465" s="1"/>
    </row>
    <row r="466" spans="31:38" ht="14.4" x14ac:dyDescent="0.3">
      <c r="AE466" s="1"/>
      <c r="AH466" s="1"/>
      <c r="AI466" s="1"/>
      <c r="AL466" s="1"/>
    </row>
    <row r="467" spans="31:38" ht="14.4" x14ac:dyDescent="0.3">
      <c r="AE467" s="1"/>
      <c r="AH467" s="1"/>
      <c r="AI467" s="1"/>
      <c r="AL467" s="1"/>
    </row>
    <row r="468" spans="31:38" ht="14.4" x14ac:dyDescent="0.3">
      <c r="AE468" s="1"/>
      <c r="AH468" s="1"/>
      <c r="AI468" s="1"/>
      <c r="AL468" s="1"/>
    </row>
    <row r="469" spans="31:38" ht="14.4" x14ac:dyDescent="0.3">
      <c r="AE469" s="1"/>
      <c r="AH469" s="1"/>
      <c r="AI469" s="1"/>
      <c r="AL469" s="1"/>
    </row>
    <row r="470" spans="31:38" ht="14.4" x14ac:dyDescent="0.3">
      <c r="AE470" s="1"/>
      <c r="AH470" s="1"/>
      <c r="AI470" s="1"/>
      <c r="AL470" s="1"/>
    </row>
    <row r="471" spans="31:38" ht="14.4" x14ac:dyDescent="0.3">
      <c r="AE471" s="1"/>
      <c r="AH471" s="1"/>
      <c r="AI471" s="1"/>
      <c r="AL471" s="1"/>
    </row>
    <row r="472" spans="31:38" ht="14.4" x14ac:dyDescent="0.3">
      <c r="AE472" s="1"/>
      <c r="AH472" s="1"/>
      <c r="AI472" s="1"/>
      <c r="AL472" s="1"/>
    </row>
    <row r="473" spans="31:38" ht="14.4" x14ac:dyDescent="0.3">
      <c r="AE473" s="1"/>
      <c r="AH473" s="1"/>
      <c r="AI473" s="1"/>
      <c r="AL473" s="1"/>
    </row>
    <row r="474" spans="31:38" ht="14.4" x14ac:dyDescent="0.3">
      <c r="AE474" s="1"/>
      <c r="AH474" s="1"/>
      <c r="AI474" s="1"/>
      <c r="AL474" s="1"/>
    </row>
    <row r="475" spans="31:38" ht="14.4" x14ac:dyDescent="0.3">
      <c r="AE475" s="1"/>
      <c r="AH475" s="1"/>
      <c r="AI475" s="1"/>
      <c r="AL475" s="1"/>
    </row>
    <row r="476" spans="31:38" ht="14.4" x14ac:dyDescent="0.3">
      <c r="AE476" s="1"/>
      <c r="AH476" s="1"/>
      <c r="AI476" s="1"/>
      <c r="AL476" s="1"/>
    </row>
    <row r="477" spans="31:38" ht="14.4" x14ac:dyDescent="0.3">
      <c r="AE477" s="1"/>
      <c r="AH477" s="1"/>
      <c r="AI477" s="1"/>
      <c r="AL477" s="1"/>
    </row>
    <row r="478" spans="31:38" ht="14.4" x14ac:dyDescent="0.3">
      <c r="AE478" s="1"/>
      <c r="AH478" s="1"/>
      <c r="AI478" s="1"/>
      <c r="AL478" s="1"/>
    </row>
    <row r="479" spans="31:38" ht="14.4" x14ac:dyDescent="0.3">
      <c r="AE479" s="1"/>
      <c r="AH479" s="1"/>
      <c r="AI479" s="1"/>
      <c r="AL479" s="1"/>
    </row>
    <row r="480" spans="31:38" ht="14.4" x14ac:dyDescent="0.3">
      <c r="AE480" s="1"/>
      <c r="AH480" s="1"/>
      <c r="AI480" s="1"/>
      <c r="AL480" s="1"/>
    </row>
    <row r="481" spans="31:38" ht="14.4" x14ac:dyDescent="0.3">
      <c r="AE481" s="1"/>
      <c r="AH481" s="1"/>
      <c r="AI481" s="1"/>
      <c r="AL481" s="1"/>
    </row>
    <row r="482" spans="31:38" ht="14.4" x14ac:dyDescent="0.3">
      <c r="AE482" s="1"/>
      <c r="AH482" s="1"/>
      <c r="AI482" s="1"/>
      <c r="AL482" s="1"/>
    </row>
    <row r="483" spans="31:38" ht="14.4" x14ac:dyDescent="0.3">
      <c r="AE483" s="1"/>
      <c r="AH483" s="1"/>
      <c r="AI483" s="1"/>
      <c r="AL483" s="1"/>
    </row>
    <row r="484" spans="31:38" ht="14.4" x14ac:dyDescent="0.3">
      <c r="AE484" s="1"/>
      <c r="AH484" s="1"/>
      <c r="AI484" s="1"/>
      <c r="AL484" s="1"/>
    </row>
    <row r="485" spans="31:38" ht="14.4" x14ac:dyDescent="0.3">
      <c r="AE485" s="1"/>
      <c r="AH485" s="1"/>
      <c r="AI485" s="1"/>
      <c r="AL485" s="1"/>
    </row>
    <row r="486" spans="31:38" ht="14.4" x14ac:dyDescent="0.3">
      <c r="AE486" s="1"/>
      <c r="AH486" s="1"/>
      <c r="AI486" s="1"/>
      <c r="AL486" s="1"/>
    </row>
    <row r="487" spans="31:38" ht="14.4" x14ac:dyDescent="0.3">
      <c r="AE487" s="1"/>
      <c r="AH487" s="1"/>
      <c r="AI487" s="1"/>
      <c r="AL487" s="1"/>
    </row>
    <row r="488" spans="31:38" ht="14.4" x14ac:dyDescent="0.3">
      <c r="AE488" s="1"/>
      <c r="AH488" s="1"/>
      <c r="AI488" s="1"/>
      <c r="AL488" s="1"/>
    </row>
    <row r="489" spans="31:38" ht="14.4" x14ac:dyDescent="0.3">
      <c r="AE489" s="1"/>
      <c r="AH489" s="1"/>
      <c r="AI489" s="1"/>
      <c r="AL489" s="1"/>
    </row>
    <row r="490" spans="31:38" ht="14.4" x14ac:dyDescent="0.3">
      <c r="AE490" s="1"/>
      <c r="AH490" s="1"/>
      <c r="AI490" s="1"/>
      <c r="AL490" s="1"/>
    </row>
    <row r="491" spans="31:38" ht="14.4" x14ac:dyDescent="0.3">
      <c r="AE491" s="1"/>
      <c r="AH491" s="1"/>
      <c r="AI491" s="1"/>
      <c r="AL491" s="1"/>
    </row>
    <row r="492" spans="31:38" ht="14.4" x14ac:dyDescent="0.3">
      <c r="AE492" s="1"/>
      <c r="AH492" s="1"/>
      <c r="AI492" s="1"/>
      <c r="AL492" s="1"/>
    </row>
    <row r="493" spans="31:38" ht="14.4" x14ac:dyDescent="0.3">
      <c r="AE493" s="1"/>
      <c r="AH493" s="1"/>
      <c r="AI493" s="1"/>
      <c r="AL493" s="1"/>
    </row>
    <row r="494" spans="31:38" ht="14.4" x14ac:dyDescent="0.3">
      <c r="AE494" s="1"/>
      <c r="AH494" s="1"/>
      <c r="AI494" s="1"/>
      <c r="AL494" s="1"/>
    </row>
    <row r="495" spans="31:38" ht="14.4" x14ac:dyDescent="0.3">
      <c r="AE495" s="1"/>
      <c r="AH495" s="1"/>
      <c r="AI495" s="1"/>
      <c r="AL495" s="1"/>
    </row>
    <row r="496" spans="31:38" ht="14.4" x14ac:dyDescent="0.3">
      <c r="AE496" s="1"/>
      <c r="AH496" s="1"/>
      <c r="AI496" s="1"/>
      <c r="AL496" s="1"/>
    </row>
    <row r="497" spans="31:38" ht="14.4" x14ac:dyDescent="0.3">
      <c r="AE497" s="1"/>
      <c r="AH497" s="1"/>
      <c r="AI497" s="1"/>
      <c r="AL497" s="1"/>
    </row>
    <row r="498" spans="31:38" ht="14.4" x14ac:dyDescent="0.3">
      <c r="AE498" s="1"/>
      <c r="AH498" s="1"/>
      <c r="AI498" s="1"/>
      <c r="AL498" s="1"/>
    </row>
    <row r="499" spans="31:38" ht="14.4" x14ac:dyDescent="0.3">
      <c r="AE499" s="1"/>
      <c r="AH499" s="1"/>
      <c r="AI499" s="1"/>
      <c r="AL499" s="1"/>
    </row>
    <row r="500" spans="31:38" ht="14.4" x14ac:dyDescent="0.3">
      <c r="AE500" s="1"/>
      <c r="AH500" s="1"/>
      <c r="AI500" s="1"/>
      <c r="AL500" s="1"/>
    </row>
    <row r="501" spans="31:38" ht="14.4" x14ac:dyDescent="0.3">
      <c r="AE501" s="1"/>
      <c r="AH501" s="1"/>
      <c r="AI501" s="1"/>
      <c r="AL501" s="1"/>
    </row>
    <row r="502" spans="31:38" ht="14.4" x14ac:dyDescent="0.3">
      <c r="AE502" s="1"/>
      <c r="AH502" s="1"/>
      <c r="AI502" s="1"/>
      <c r="AL502" s="1"/>
    </row>
    <row r="503" spans="31:38" ht="14.4" x14ac:dyDescent="0.3">
      <c r="AE503" s="1"/>
      <c r="AH503" s="1"/>
      <c r="AI503" s="1"/>
      <c r="AL503" s="1"/>
    </row>
    <row r="504" spans="31:38" ht="14.4" x14ac:dyDescent="0.3">
      <c r="AE504" s="1"/>
      <c r="AH504" s="1"/>
      <c r="AI504" s="1"/>
      <c r="AL504" s="1"/>
    </row>
    <row r="505" spans="31:38" ht="14.4" x14ac:dyDescent="0.3">
      <c r="AE505" s="1"/>
      <c r="AH505" s="1"/>
      <c r="AI505" s="1"/>
      <c r="AL505" s="1"/>
    </row>
    <row r="506" spans="31:38" ht="14.4" x14ac:dyDescent="0.3">
      <c r="AE506" s="1"/>
      <c r="AH506" s="1"/>
      <c r="AI506" s="1"/>
      <c r="AL506" s="1"/>
    </row>
    <row r="507" spans="31:38" ht="14.4" x14ac:dyDescent="0.3">
      <c r="AE507" s="1"/>
      <c r="AH507" s="1"/>
      <c r="AI507" s="1"/>
      <c r="AL507" s="1"/>
    </row>
    <row r="508" spans="31:38" ht="14.4" x14ac:dyDescent="0.3">
      <c r="AE508" s="1"/>
      <c r="AH508" s="1"/>
      <c r="AI508" s="1"/>
      <c r="AL508" s="1"/>
    </row>
    <row r="509" spans="31:38" ht="14.4" x14ac:dyDescent="0.3">
      <c r="AE509" s="1"/>
      <c r="AH509" s="1"/>
      <c r="AI509" s="1"/>
      <c r="AL509" s="1"/>
    </row>
    <row r="510" spans="31:38" ht="14.4" x14ac:dyDescent="0.3">
      <c r="AE510" s="1"/>
      <c r="AH510" s="1"/>
      <c r="AI510" s="1"/>
      <c r="AL510" s="1"/>
    </row>
    <row r="511" spans="31:38" ht="14.4" x14ac:dyDescent="0.3">
      <c r="AE511" s="1"/>
      <c r="AH511" s="1"/>
      <c r="AI511" s="1"/>
      <c r="AL511" s="1"/>
    </row>
    <row r="512" spans="31:38" ht="14.4" x14ac:dyDescent="0.3">
      <c r="AE512" s="1"/>
      <c r="AH512" s="1"/>
      <c r="AI512" s="1"/>
      <c r="AL512" s="1"/>
    </row>
    <row r="513" spans="31:38" ht="14.4" x14ac:dyDescent="0.3">
      <c r="AE513" s="1"/>
      <c r="AH513" s="1"/>
      <c r="AI513" s="1"/>
      <c r="AL513" s="1"/>
    </row>
    <row r="514" spans="31:38" ht="14.4" x14ac:dyDescent="0.3">
      <c r="AE514" s="1"/>
      <c r="AH514" s="1"/>
      <c r="AI514" s="1"/>
      <c r="AL514" s="1"/>
    </row>
    <row r="515" spans="31:38" ht="14.4" x14ac:dyDescent="0.3">
      <c r="AE515" s="1"/>
      <c r="AH515" s="1"/>
      <c r="AI515" s="1"/>
      <c r="AL515" s="1"/>
    </row>
    <row r="516" spans="31:38" ht="14.4" x14ac:dyDescent="0.3">
      <c r="AE516" s="1"/>
      <c r="AH516" s="1"/>
      <c r="AI516" s="1"/>
      <c r="AL516" s="1"/>
    </row>
    <row r="517" spans="31:38" ht="14.4" x14ac:dyDescent="0.3">
      <c r="AE517" s="1"/>
      <c r="AH517" s="1"/>
      <c r="AI517" s="1"/>
      <c r="AL517" s="1"/>
    </row>
    <row r="518" spans="31:38" ht="14.4" x14ac:dyDescent="0.3">
      <c r="AE518" s="1"/>
      <c r="AH518" s="1"/>
      <c r="AI518" s="1"/>
      <c r="AL518" s="1"/>
    </row>
    <row r="519" spans="31:38" ht="14.4" x14ac:dyDescent="0.3">
      <c r="AE519" s="1"/>
      <c r="AH519" s="1"/>
      <c r="AI519" s="1"/>
      <c r="AL519" s="1"/>
    </row>
    <row r="520" spans="31:38" ht="14.4" x14ac:dyDescent="0.3">
      <c r="AE520" s="1"/>
      <c r="AH520" s="1"/>
      <c r="AI520" s="1"/>
      <c r="AL520" s="1"/>
    </row>
    <row r="521" spans="31:38" ht="14.4" x14ac:dyDescent="0.3">
      <c r="AE521" s="1"/>
      <c r="AH521" s="1"/>
      <c r="AI521" s="1"/>
      <c r="AL521" s="1"/>
    </row>
    <row r="522" spans="31:38" ht="14.4" x14ac:dyDescent="0.3">
      <c r="AE522" s="1"/>
      <c r="AH522" s="1"/>
      <c r="AI522" s="1"/>
      <c r="AL522" s="1"/>
    </row>
    <row r="523" spans="31:38" ht="14.4" x14ac:dyDescent="0.3">
      <c r="AE523" s="1"/>
      <c r="AH523" s="1"/>
      <c r="AI523" s="1"/>
      <c r="AL523" s="1"/>
    </row>
    <row r="524" spans="31:38" ht="14.4" x14ac:dyDescent="0.3">
      <c r="AE524" s="1"/>
      <c r="AH524" s="1"/>
      <c r="AI524" s="1"/>
      <c r="AL524" s="1"/>
    </row>
    <row r="525" spans="31:38" ht="14.4" x14ac:dyDescent="0.3">
      <c r="AE525" s="1"/>
      <c r="AH525" s="1"/>
      <c r="AI525" s="1"/>
      <c r="AL525" s="1"/>
    </row>
    <row r="526" spans="31:38" ht="14.4" x14ac:dyDescent="0.3">
      <c r="AE526" s="1"/>
      <c r="AH526" s="1"/>
      <c r="AI526" s="1"/>
      <c r="AL526" s="1"/>
    </row>
    <row r="527" spans="31:38" ht="14.4" x14ac:dyDescent="0.3">
      <c r="AE527" s="1"/>
      <c r="AH527" s="1"/>
      <c r="AI527" s="1"/>
      <c r="AL527" s="1"/>
    </row>
    <row r="528" spans="31:38" ht="14.4" x14ac:dyDescent="0.3">
      <c r="AE528" s="1"/>
      <c r="AH528" s="1"/>
      <c r="AI528" s="1"/>
      <c r="AL528" s="1"/>
    </row>
    <row r="529" spans="31:38" ht="14.4" x14ac:dyDescent="0.3">
      <c r="AE529" s="1"/>
      <c r="AH529" s="1"/>
      <c r="AI529" s="1"/>
      <c r="AL529" s="1"/>
    </row>
    <row r="530" spans="31:38" ht="14.4" x14ac:dyDescent="0.3">
      <c r="AE530" s="1"/>
      <c r="AH530" s="1"/>
      <c r="AI530" s="1"/>
      <c r="AL530" s="1"/>
    </row>
    <row r="531" spans="31:38" ht="14.4" x14ac:dyDescent="0.3">
      <c r="AE531" s="1"/>
      <c r="AH531" s="1"/>
      <c r="AI531" s="1"/>
      <c r="AL531" s="1"/>
    </row>
    <row r="532" spans="31:38" ht="14.4" x14ac:dyDescent="0.3">
      <c r="AE532" s="1"/>
      <c r="AH532" s="1"/>
      <c r="AI532" s="1"/>
      <c r="AL532" s="1"/>
    </row>
    <row r="533" spans="31:38" ht="14.4" x14ac:dyDescent="0.3">
      <c r="AE533" s="1"/>
      <c r="AH533" s="1"/>
      <c r="AI533" s="1"/>
      <c r="AL533" s="1"/>
    </row>
    <row r="534" spans="31:38" ht="14.4" x14ac:dyDescent="0.3">
      <c r="AE534" s="1"/>
      <c r="AH534" s="1"/>
      <c r="AI534" s="1"/>
      <c r="AL534" s="1"/>
    </row>
    <row r="535" spans="31:38" ht="14.4" x14ac:dyDescent="0.3">
      <c r="AE535" s="1"/>
      <c r="AH535" s="1"/>
      <c r="AI535" s="1"/>
      <c r="AL535" s="1"/>
    </row>
    <row r="536" spans="31:38" ht="14.4" x14ac:dyDescent="0.3">
      <c r="AE536" s="1"/>
      <c r="AH536" s="1"/>
      <c r="AI536" s="1"/>
      <c r="AL536" s="1"/>
    </row>
    <row r="537" spans="31:38" ht="14.4" x14ac:dyDescent="0.3">
      <c r="AE537" s="1"/>
      <c r="AH537" s="1"/>
      <c r="AI537" s="1"/>
      <c r="AL537" s="1"/>
    </row>
    <row r="538" spans="31:38" ht="14.4" x14ac:dyDescent="0.3">
      <c r="AE538" s="1"/>
      <c r="AH538" s="1"/>
      <c r="AI538" s="1"/>
      <c r="AL538" s="1"/>
    </row>
    <row r="539" spans="31:38" ht="14.4" x14ac:dyDescent="0.3">
      <c r="AE539" s="1"/>
      <c r="AH539" s="1"/>
      <c r="AI539" s="1"/>
      <c r="AL539" s="1"/>
    </row>
    <row r="540" spans="31:38" ht="14.4" x14ac:dyDescent="0.3">
      <c r="AE540" s="1"/>
      <c r="AH540" s="1"/>
      <c r="AI540" s="1"/>
      <c r="AL540" s="1"/>
    </row>
    <row r="541" spans="31:38" ht="14.4" x14ac:dyDescent="0.3">
      <c r="AE541" s="1"/>
      <c r="AH541" s="1"/>
      <c r="AI541" s="1"/>
      <c r="AL541" s="1"/>
    </row>
    <row r="542" spans="31:38" ht="14.4" x14ac:dyDescent="0.3">
      <c r="AE542" s="1"/>
      <c r="AH542" s="1"/>
      <c r="AI542" s="1"/>
      <c r="AL542" s="1"/>
    </row>
    <row r="543" spans="31:38" ht="14.4" x14ac:dyDescent="0.3">
      <c r="AE543" s="1"/>
      <c r="AH543" s="1"/>
      <c r="AI543" s="1"/>
      <c r="AL543" s="1"/>
    </row>
    <row r="544" spans="31:38" ht="14.4" x14ac:dyDescent="0.3">
      <c r="AE544" s="1"/>
      <c r="AH544" s="1"/>
      <c r="AI544" s="1"/>
      <c r="AL544" s="1"/>
    </row>
    <row r="545" spans="31:38" ht="14.4" x14ac:dyDescent="0.3">
      <c r="AE545" s="1"/>
      <c r="AH545" s="1"/>
      <c r="AI545" s="1"/>
      <c r="AL545" s="1"/>
    </row>
    <row r="546" spans="31:38" ht="14.4" x14ac:dyDescent="0.3">
      <c r="AE546" s="1"/>
      <c r="AH546" s="1"/>
      <c r="AI546" s="1"/>
      <c r="AL546" s="1"/>
    </row>
    <row r="547" spans="31:38" ht="14.4" x14ac:dyDescent="0.3">
      <c r="AE547" s="1"/>
      <c r="AH547" s="1"/>
      <c r="AI547" s="1"/>
      <c r="AL547" s="1"/>
    </row>
    <row r="548" spans="31:38" ht="14.4" x14ac:dyDescent="0.3">
      <c r="AE548" s="1"/>
      <c r="AH548" s="1"/>
      <c r="AI548" s="1"/>
      <c r="AL548" s="1"/>
    </row>
    <row r="549" spans="31:38" ht="14.4" x14ac:dyDescent="0.3">
      <c r="AE549" s="1"/>
      <c r="AH549" s="1"/>
      <c r="AI549" s="1"/>
      <c r="AL549" s="1"/>
    </row>
    <row r="550" spans="31:38" ht="14.4" x14ac:dyDescent="0.3">
      <c r="AE550" s="1"/>
      <c r="AH550" s="1"/>
      <c r="AI550" s="1"/>
      <c r="AL550" s="1"/>
    </row>
    <row r="551" spans="31:38" ht="14.4" x14ac:dyDescent="0.3">
      <c r="AE551" s="1"/>
      <c r="AH551" s="1"/>
      <c r="AI551" s="1"/>
      <c r="AL551" s="1"/>
    </row>
    <row r="552" spans="31:38" ht="14.4" x14ac:dyDescent="0.3">
      <c r="AE552" s="1"/>
      <c r="AH552" s="1"/>
      <c r="AI552" s="1"/>
      <c r="AL552" s="1"/>
    </row>
    <row r="553" spans="31:38" ht="14.4" x14ac:dyDescent="0.3">
      <c r="AE553" s="1"/>
      <c r="AH553" s="1"/>
      <c r="AI553" s="1"/>
      <c r="AL553" s="1"/>
    </row>
    <row r="554" spans="31:38" ht="14.4" x14ac:dyDescent="0.3">
      <c r="AE554" s="1"/>
      <c r="AH554" s="1"/>
      <c r="AI554" s="1"/>
      <c r="AL554" s="1"/>
    </row>
    <row r="555" spans="31:38" ht="14.4" x14ac:dyDescent="0.3">
      <c r="AE555" s="1"/>
      <c r="AH555" s="1"/>
      <c r="AI555" s="1"/>
      <c r="AL555" s="1"/>
    </row>
    <row r="556" spans="31:38" ht="14.4" x14ac:dyDescent="0.3">
      <c r="AE556" s="1"/>
      <c r="AH556" s="1"/>
      <c r="AI556" s="1"/>
      <c r="AL556" s="1"/>
    </row>
    <row r="557" spans="31:38" ht="14.4" x14ac:dyDescent="0.3">
      <c r="AE557" s="1"/>
      <c r="AH557" s="1"/>
      <c r="AI557" s="1"/>
      <c r="AL557" s="1"/>
    </row>
    <row r="558" spans="31:38" ht="14.4" x14ac:dyDescent="0.3">
      <c r="AE558" s="1"/>
      <c r="AH558" s="1"/>
      <c r="AI558" s="1"/>
      <c r="AL558" s="1"/>
    </row>
    <row r="559" spans="31:38" ht="14.4" x14ac:dyDescent="0.3">
      <c r="AE559" s="1"/>
      <c r="AH559" s="1"/>
      <c r="AI559" s="1"/>
      <c r="AL559" s="1"/>
    </row>
    <row r="560" spans="31:38" ht="14.4" x14ac:dyDescent="0.3">
      <c r="AE560" s="1"/>
      <c r="AH560" s="1"/>
      <c r="AI560" s="1"/>
      <c r="AL560" s="1"/>
    </row>
    <row r="561" spans="31:38" ht="14.4" x14ac:dyDescent="0.3">
      <c r="AE561" s="1"/>
      <c r="AH561" s="1"/>
      <c r="AI561" s="1"/>
      <c r="AL561" s="1"/>
    </row>
    <row r="562" spans="31:38" ht="14.4" x14ac:dyDescent="0.3">
      <c r="AE562" s="1"/>
      <c r="AH562" s="1"/>
      <c r="AI562" s="1"/>
      <c r="AL562" s="1"/>
    </row>
    <row r="563" spans="31:38" ht="14.4" x14ac:dyDescent="0.3">
      <c r="AE563" s="1"/>
      <c r="AH563" s="1"/>
      <c r="AI563" s="1"/>
      <c r="AL563" s="1"/>
    </row>
    <row r="564" spans="31:38" ht="14.4" x14ac:dyDescent="0.3">
      <c r="AE564" s="1"/>
      <c r="AH564" s="1"/>
      <c r="AI564" s="1"/>
      <c r="AL564" s="1"/>
    </row>
    <row r="565" spans="31:38" ht="14.4" x14ac:dyDescent="0.3">
      <c r="AE565" s="1"/>
      <c r="AH565" s="1"/>
      <c r="AI565" s="1"/>
      <c r="AL565" s="1"/>
    </row>
    <row r="566" spans="31:38" ht="14.4" x14ac:dyDescent="0.3">
      <c r="AE566" s="1"/>
      <c r="AH566" s="1"/>
      <c r="AI566" s="1"/>
      <c r="AL566" s="1"/>
    </row>
    <row r="567" spans="31:38" ht="14.4" x14ac:dyDescent="0.3">
      <c r="AE567" s="1"/>
      <c r="AH567" s="1"/>
      <c r="AI567" s="1"/>
      <c r="AL567" s="1"/>
    </row>
    <row r="568" spans="31:38" ht="14.4" x14ac:dyDescent="0.3">
      <c r="AE568" s="1"/>
      <c r="AH568" s="1"/>
      <c r="AI568" s="1"/>
      <c r="AL568" s="1"/>
    </row>
    <row r="569" spans="31:38" ht="14.4" x14ac:dyDescent="0.3">
      <c r="AE569" s="1"/>
      <c r="AH569" s="1"/>
      <c r="AI569" s="1"/>
      <c r="AL569" s="1"/>
    </row>
    <row r="570" spans="31:38" ht="14.4" x14ac:dyDescent="0.3">
      <c r="AE570" s="1"/>
      <c r="AH570" s="1"/>
      <c r="AI570" s="1"/>
      <c r="AL570" s="1"/>
    </row>
    <row r="571" spans="31:38" ht="14.4" x14ac:dyDescent="0.3">
      <c r="AE571" s="1"/>
      <c r="AH571" s="1"/>
      <c r="AI571" s="1"/>
      <c r="AL571" s="1"/>
    </row>
    <row r="572" spans="31:38" ht="14.4" x14ac:dyDescent="0.3">
      <c r="AE572" s="1"/>
      <c r="AH572" s="1"/>
      <c r="AI572" s="1"/>
      <c r="AL572" s="1"/>
    </row>
    <row r="573" spans="31:38" ht="14.4" x14ac:dyDescent="0.3">
      <c r="AE573" s="1"/>
      <c r="AH573" s="1"/>
      <c r="AI573" s="1"/>
      <c r="AL573" s="1"/>
    </row>
    <row r="574" spans="31:38" ht="14.4" x14ac:dyDescent="0.3">
      <c r="AE574" s="1"/>
      <c r="AH574" s="1"/>
      <c r="AI574" s="1"/>
      <c r="AL574" s="1"/>
    </row>
    <row r="575" spans="31:38" ht="14.4" x14ac:dyDescent="0.3">
      <c r="AE575" s="1"/>
      <c r="AH575" s="1"/>
      <c r="AI575" s="1"/>
      <c r="AL575" s="1"/>
    </row>
    <row r="576" spans="31:38" ht="14.4" x14ac:dyDescent="0.3">
      <c r="AE576" s="1"/>
      <c r="AH576" s="1"/>
      <c r="AI576" s="1"/>
      <c r="AL576" s="1"/>
    </row>
    <row r="577" spans="31:38" ht="14.4" x14ac:dyDescent="0.3">
      <c r="AE577" s="1"/>
      <c r="AH577" s="1"/>
      <c r="AI577" s="1"/>
      <c r="AL577" s="1"/>
    </row>
    <row r="578" spans="31:38" ht="14.4" x14ac:dyDescent="0.3">
      <c r="AE578" s="1"/>
      <c r="AH578" s="1"/>
      <c r="AI578" s="1"/>
      <c r="AL578" s="1"/>
    </row>
    <row r="579" spans="31:38" ht="14.4" x14ac:dyDescent="0.3">
      <c r="AE579" s="1"/>
      <c r="AH579" s="1"/>
      <c r="AI579" s="1"/>
      <c r="AL579" s="1"/>
    </row>
    <row r="580" spans="31:38" ht="14.4" x14ac:dyDescent="0.3">
      <c r="AE580" s="1"/>
      <c r="AH580" s="1"/>
      <c r="AI580" s="1"/>
      <c r="AL580" s="1"/>
    </row>
    <row r="581" spans="31:38" ht="14.4" x14ac:dyDescent="0.3">
      <c r="AE581" s="1"/>
      <c r="AH581" s="1"/>
      <c r="AI581" s="1"/>
      <c r="AL581" s="1"/>
    </row>
    <row r="582" spans="31:38" ht="14.4" x14ac:dyDescent="0.3">
      <c r="AE582" s="1"/>
      <c r="AH582" s="1"/>
      <c r="AI582" s="1"/>
      <c r="AL582" s="1"/>
    </row>
    <row r="583" spans="31:38" ht="14.4" x14ac:dyDescent="0.3">
      <c r="AE583" s="1"/>
      <c r="AH583" s="1"/>
      <c r="AI583" s="1"/>
      <c r="AL583" s="1"/>
    </row>
    <row r="584" spans="31:38" ht="14.4" x14ac:dyDescent="0.3">
      <c r="AE584" s="1"/>
      <c r="AH584" s="1"/>
      <c r="AI584" s="1"/>
      <c r="AL584" s="1"/>
    </row>
    <row r="585" spans="31:38" ht="14.4" x14ac:dyDescent="0.3">
      <c r="AE585" s="1"/>
      <c r="AH585" s="1"/>
      <c r="AI585" s="1"/>
      <c r="AL585" s="1"/>
    </row>
    <row r="586" spans="31:38" ht="14.4" x14ac:dyDescent="0.3">
      <c r="AE586" s="1"/>
      <c r="AH586" s="1"/>
      <c r="AI586" s="1"/>
      <c r="AL586" s="1"/>
    </row>
    <row r="587" spans="31:38" ht="14.4" x14ac:dyDescent="0.3">
      <c r="AE587" s="1"/>
      <c r="AH587" s="1"/>
      <c r="AI587" s="1"/>
      <c r="AL587" s="1"/>
    </row>
    <row r="588" spans="31:38" ht="14.4" x14ac:dyDescent="0.3">
      <c r="AE588" s="1"/>
      <c r="AH588" s="1"/>
      <c r="AI588" s="1"/>
      <c r="AL588" s="1"/>
    </row>
    <row r="589" spans="31:38" ht="14.4" x14ac:dyDescent="0.3">
      <c r="AE589" s="1"/>
      <c r="AH589" s="1"/>
      <c r="AI589" s="1"/>
      <c r="AL589" s="1"/>
    </row>
    <row r="590" spans="31:38" ht="14.4" x14ac:dyDescent="0.3">
      <c r="AE590" s="1"/>
      <c r="AH590" s="1"/>
      <c r="AI590" s="1"/>
      <c r="AL590" s="1"/>
    </row>
    <row r="591" spans="31:38" ht="14.4" x14ac:dyDescent="0.3">
      <c r="AE591" s="1"/>
      <c r="AH591" s="1"/>
      <c r="AI591" s="1"/>
      <c r="AL591" s="1"/>
    </row>
    <row r="592" spans="31:38" ht="14.4" x14ac:dyDescent="0.3">
      <c r="AE592" s="1"/>
      <c r="AH592" s="1"/>
      <c r="AI592" s="1"/>
      <c r="AL592" s="1"/>
    </row>
    <row r="593" spans="31:38" ht="14.4" x14ac:dyDescent="0.3">
      <c r="AE593" s="1"/>
      <c r="AH593" s="1"/>
      <c r="AI593" s="1"/>
      <c r="AL593" s="1"/>
    </row>
    <row r="594" spans="31:38" ht="14.4" x14ac:dyDescent="0.3">
      <c r="AE594" s="1"/>
      <c r="AH594" s="1"/>
      <c r="AI594" s="1"/>
      <c r="AL594" s="1"/>
    </row>
    <row r="595" spans="31:38" ht="14.4" x14ac:dyDescent="0.3">
      <c r="AE595" s="1"/>
      <c r="AH595" s="1"/>
      <c r="AI595" s="1"/>
      <c r="AL595" s="1"/>
    </row>
    <row r="596" spans="31:38" ht="14.4" x14ac:dyDescent="0.3">
      <c r="AE596" s="1"/>
      <c r="AH596" s="1"/>
      <c r="AI596" s="1"/>
      <c r="AL596" s="1"/>
    </row>
    <row r="597" spans="31:38" ht="14.4" x14ac:dyDescent="0.3">
      <c r="AE597" s="1"/>
      <c r="AH597" s="1"/>
      <c r="AI597" s="1"/>
      <c r="AL597" s="1"/>
    </row>
    <row r="598" spans="31:38" ht="14.4" x14ac:dyDescent="0.3">
      <c r="AE598" s="1"/>
      <c r="AH598" s="1"/>
      <c r="AI598" s="1"/>
      <c r="AL598" s="1"/>
    </row>
    <row r="599" spans="31:38" ht="14.4" x14ac:dyDescent="0.3">
      <c r="AE599" s="1"/>
      <c r="AH599" s="1"/>
      <c r="AI599" s="1"/>
      <c r="AL599" s="1"/>
    </row>
    <row r="600" spans="31:38" ht="14.4" x14ac:dyDescent="0.3">
      <c r="AE600" s="1"/>
      <c r="AH600" s="1"/>
      <c r="AI600" s="1"/>
      <c r="AL600" s="1"/>
    </row>
    <row r="601" spans="31:38" ht="14.4" x14ac:dyDescent="0.3">
      <c r="AE601" s="1"/>
      <c r="AH601" s="1"/>
      <c r="AI601" s="1"/>
      <c r="AL601" s="1"/>
    </row>
    <row r="602" spans="31:38" ht="14.4" x14ac:dyDescent="0.3">
      <c r="AE602" s="1"/>
      <c r="AH602" s="1"/>
      <c r="AI602" s="1"/>
      <c r="AL602" s="1"/>
    </row>
    <row r="603" spans="31:38" ht="14.4" x14ac:dyDescent="0.3">
      <c r="AE603" s="1"/>
      <c r="AH603" s="1"/>
      <c r="AI603" s="1"/>
      <c r="AL603" s="1"/>
    </row>
    <row r="604" spans="31:38" ht="14.4" x14ac:dyDescent="0.3">
      <c r="AE604" s="1"/>
      <c r="AH604" s="1"/>
      <c r="AI604" s="1"/>
      <c r="AL604" s="1"/>
    </row>
    <row r="605" spans="31:38" ht="14.4" x14ac:dyDescent="0.3">
      <c r="AE605" s="1"/>
      <c r="AH605" s="1"/>
      <c r="AI605" s="1"/>
      <c r="AL605" s="1"/>
    </row>
    <row r="606" spans="31:38" ht="14.4" x14ac:dyDescent="0.3">
      <c r="AE606" s="1"/>
      <c r="AH606" s="1"/>
      <c r="AI606" s="1"/>
      <c r="AL606" s="1"/>
    </row>
    <row r="607" spans="31:38" ht="14.4" x14ac:dyDescent="0.3">
      <c r="AE607" s="1"/>
      <c r="AH607" s="1"/>
      <c r="AI607" s="1"/>
      <c r="AL607" s="1"/>
    </row>
    <row r="608" spans="31:38" ht="14.4" x14ac:dyDescent="0.3">
      <c r="AE608" s="1"/>
      <c r="AH608" s="1"/>
      <c r="AI608" s="1"/>
      <c r="AL608" s="1"/>
    </row>
    <row r="609" spans="31:38" ht="14.4" x14ac:dyDescent="0.3">
      <c r="AE609" s="1"/>
      <c r="AH609" s="1"/>
      <c r="AI609" s="1"/>
      <c r="AL609" s="1"/>
    </row>
    <row r="610" spans="31:38" ht="14.4" x14ac:dyDescent="0.3">
      <c r="AE610" s="1"/>
      <c r="AH610" s="1"/>
      <c r="AI610" s="1"/>
      <c r="AL610" s="1"/>
    </row>
    <row r="611" spans="31:38" ht="14.4" x14ac:dyDescent="0.3">
      <c r="AE611" s="1"/>
      <c r="AH611" s="1"/>
      <c r="AI611" s="1"/>
      <c r="AL611" s="1"/>
    </row>
    <row r="612" spans="31:38" ht="14.4" x14ac:dyDescent="0.3">
      <c r="AE612" s="1"/>
      <c r="AH612" s="1"/>
      <c r="AI612" s="1"/>
      <c r="AL612" s="1"/>
    </row>
    <row r="613" spans="31:38" ht="14.4" x14ac:dyDescent="0.3">
      <c r="AE613" s="1"/>
      <c r="AH613" s="1"/>
      <c r="AI613" s="1"/>
      <c r="AL613" s="1"/>
    </row>
    <row r="614" spans="31:38" ht="14.4" x14ac:dyDescent="0.3">
      <c r="AE614" s="1"/>
      <c r="AH614" s="1"/>
      <c r="AI614" s="1"/>
      <c r="AL614" s="1"/>
    </row>
    <row r="615" spans="31:38" ht="14.4" x14ac:dyDescent="0.3">
      <c r="AE615" s="1"/>
      <c r="AH615" s="1"/>
      <c r="AI615" s="1"/>
      <c r="AL615" s="1"/>
    </row>
    <row r="616" spans="31:38" ht="14.4" x14ac:dyDescent="0.3">
      <c r="AE616" s="1"/>
      <c r="AH616" s="1"/>
      <c r="AI616" s="1"/>
      <c r="AL616" s="1"/>
    </row>
    <row r="617" spans="31:38" ht="14.4" x14ac:dyDescent="0.3">
      <c r="AE617" s="1"/>
      <c r="AH617" s="1"/>
      <c r="AI617" s="1"/>
      <c r="AL617" s="1"/>
    </row>
    <row r="618" spans="31:38" ht="14.4" x14ac:dyDescent="0.3">
      <c r="AE618" s="1"/>
      <c r="AH618" s="1"/>
      <c r="AI618" s="1"/>
      <c r="AL618" s="1"/>
    </row>
    <row r="619" spans="31:38" ht="14.4" x14ac:dyDescent="0.3">
      <c r="AE619" s="1"/>
      <c r="AH619" s="1"/>
      <c r="AI619" s="1"/>
      <c r="AL619" s="1"/>
    </row>
    <row r="620" spans="31:38" ht="14.4" x14ac:dyDescent="0.3">
      <c r="AE620" s="1"/>
      <c r="AH620" s="1"/>
      <c r="AI620" s="1"/>
      <c r="AL620" s="1"/>
    </row>
    <row r="621" spans="31:38" ht="14.4" x14ac:dyDescent="0.3">
      <c r="AE621" s="1"/>
      <c r="AH621" s="1"/>
      <c r="AI621" s="1"/>
      <c r="AL621" s="1"/>
    </row>
    <row r="622" spans="31:38" ht="14.4" x14ac:dyDescent="0.3">
      <c r="AE622" s="1"/>
      <c r="AH622" s="1"/>
      <c r="AI622" s="1"/>
      <c r="AL622" s="1"/>
    </row>
    <row r="623" spans="31:38" ht="14.4" x14ac:dyDescent="0.3">
      <c r="AE623" s="1"/>
      <c r="AH623" s="1"/>
      <c r="AI623" s="1"/>
      <c r="AL623" s="1"/>
    </row>
    <row r="624" spans="31:38" ht="14.4" x14ac:dyDescent="0.3">
      <c r="AE624" s="1"/>
      <c r="AH624" s="1"/>
      <c r="AI624" s="1"/>
      <c r="AL624" s="1"/>
    </row>
    <row r="625" spans="31:38" ht="14.4" x14ac:dyDescent="0.3">
      <c r="AE625" s="1"/>
      <c r="AH625" s="1"/>
      <c r="AI625" s="1"/>
      <c r="AL625" s="1"/>
    </row>
    <row r="626" spans="31:38" ht="14.4" x14ac:dyDescent="0.3">
      <c r="AE626" s="1"/>
      <c r="AH626" s="1"/>
      <c r="AI626" s="1"/>
      <c r="AL626" s="1"/>
    </row>
    <row r="627" spans="31:38" ht="14.4" x14ac:dyDescent="0.3">
      <c r="AE627" s="1"/>
      <c r="AH627" s="1"/>
      <c r="AI627" s="1"/>
      <c r="AL627" s="1"/>
    </row>
    <row r="628" spans="31:38" ht="14.4" x14ac:dyDescent="0.3">
      <c r="AE628" s="1"/>
      <c r="AH628" s="1"/>
      <c r="AI628" s="1"/>
      <c r="AL628" s="1"/>
    </row>
    <row r="629" spans="31:38" ht="14.4" x14ac:dyDescent="0.3">
      <c r="AE629" s="1"/>
      <c r="AH629" s="1"/>
      <c r="AI629" s="1"/>
      <c r="AL629" s="1"/>
    </row>
    <row r="630" spans="31:38" ht="14.4" x14ac:dyDescent="0.3">
      <c r="AE630" s="1"/>
      <c r="AH630" s="1"/>
      <c r="AI630" s="1"/>
      <c r="AL630" s="1"/>
    </row>
    <row r="631" spans="31:38" ht="14.4" x14ac:dyDescent="0.3">
      <c r="AE631" s="1"/>
      <c r="AH631" s="1"/>
      <c r="AI631" s="1"/>
      <c r="AL631" s="1"/>
    </row>
    <row r="632" spans="31:38" ht="14.4" x14ac:dyDescent="0.3">
      <c r="AE632" s="1"/>
      <c r="AH632" s="1"/>
      <c r="AI632" s="1"/>
      <c r="AL632" s="1"/>
    </row>
    <row r="633" spans="31:38" ht="14.4" x14ac:dyDescent="0.3">
      <c r="AE633" s="1"/>
      <c r="AH633" s="1"/>
      <c r="AI633" s="1"/>
      <c r="AL633" s="1"/>
    </row>
    <row r="634" spans="31:38" ht="14.4" x14ac:dyDescent="0.3">
      <c r="AE634" s="1"/>
      <c r="AH634" s="1"/>
      <c r="AI634" s="1"/>
      <c r="AL634" s="1"/>
    </row>
    <row r="635" spans="31:38" ht="14.4" x14ac:dyDescent="0.3">
      <c r="AE635" s="1"/>
      <c r="AH635" s="1"/>
      <c r="AI635" s="1"/>
      <c r="AL635" s="1"/>
    </row>
    <row r="636" spans="31:38" ht="14.4" x14ac:dyDescent="0.3">
      <c r="AE636" s="1"/>
      <c r="AH636" s="1"/>
      <c r="AI636" s="1"/>
      <c r="AL636" s="1"/>
    </row>
    <row r="637" spans="31:38" ht="14.4" x14ac:dyDescent="0.3">
      <c r="AE637" s="1"/>
      <c r="AH637" s="1"/>
      <c r="AI637" s="1"/>
      <c r="AL637" s="1"/>
    </row>
    <row r="638" spans="31:38" ht="14.4" x14ac:dyDescent="0.3">
      <c r="AE638" s="1"/>
      <c r="AH638" s="1"/>
      <c r="AI638" s="1"/>
      <c r="AL638" s="1"/>
    </row>
    <row r="639" spans="31:38" ht="14.4" x14ac:dyDescent="0.3">
      <c r="AE639" s="1"/>
      <c r="AH639" s="1"/>
      <c r="AI639" s="1"/>
      <c r="AL639" s="1"/>
    </row>
    <row r="640" spans="31:38" ht="14.4" x14ac:dyDescent="0.3">
      <c r="AE640" s="1"/>
      <c r="AH640" s="1"/>
      <c r="AI640" s="1"/>
      <c r="AL640" s="1"/>
    </row>
    <row r="641" spans="31:38" ht="14.4" x14ac:dyDescent="0.3">
      <c r="AE641" s="1"/>
      <c r="AH641" s="1"/>
      <c r="AI641" s="1"/>
      <c r="AL641" s="1"/>
    </row>
    <row r="642" spans="31:38" ht="14.4" x14ac:dyDescent="0.3">
      <c r="AE642" s="1"/>
      <c r="AH642" s="1"/>
      <c r="AI642" s="1"/>
      <c r="AL642" s="1"/>
    </row>
    <row r="643" spans="31:38" ht="14.4" x14ac:dyDescent="0.3">
      <c r="AE643" s="1"/>
      <c r="AH643" s="1"/>
      <c r="AI643" s="1"/>
      <c r="AL643" s="1"/>
    </row>
    <row r="644" spans="31:38" ht="14.4" x14ac:dyDescent="0.3">
      <c r="AE644" s="1"/>
      <c r="AH644" s="1"/>
      <c r="AI644" s="1"/>
      <c r="AL644" s="1"/>
    </row>
    <row r="645" spans="31:38" ht="14.4" x14ac:dyDescent="0.3">
      <c r="AE645" s="1"/>
      <c r="AH645" s="1"/>
      <c r="AI645" s="1"/>
      <c r="AL645" s="1"/>
    </row>
    <row r="646" spans="31:38" ht="14.4" x14ac:dyDescent="0.3">
      <c r="AE646" s="1"/>
      <c r="AH646" s="1"/>
      <c r="AI646" s="1"/>
      <c r="AL646" s="1"/>
    </row>
    <row r="647" spans="31:38" ht="14.4" x14ac:dyDescent="0.3">
      <c r="AE647" s="1"/>
      <c r="AH647" s="1"/>
      <c r="AI647" s="1"/>
      <c r="AL647" s="1"/>
    </row>
    <row r="648" spans="31:38" ht="14.4" x14ac:dyDescent="0.3">
      <c r="AE648" s="1"/>
      <c r="AH648" s="1"/>
      <c r="AI648" s="1"/>
      <c r="AL648" s="1"/>
    </row>
    <row r="649" spans="31:38" ht="14.4" x14ac:dyDescent="0.3">
      <c r="AE649" s="1"/>
      <c r="AH649" s="1"/>
      <c r="AI649" s="1"/>
      <c r="AL649" s="1"/>
    </row>
    <row r="650" spans="31:38" ht="14.4" x14ac:dyDescent="0.3">
      <c r="AE650" s="1"/>
      <c r="AH650" s="1"/>
      <c r="AI650" s="1"/>
      <c r="AL650" s="1"/>
    </row>
    <row r="651" spans="31:38" ht="14.4" x14ac:dyDescent="0.3">
      <c r="AE651" s="1"/>
      <c r="AH651" s="1"/>
      <c r="AI651" s="1"/>
      <c r="AL651" s="1"/>
    </row>
    <row r="652" spans="31:38" ht="14.4" x14ac:dyDescent="0.3">
      <c r="AE652" s="1"/>
      <c r="AH652" s="1"/>
      <c r="AI652" s="1"/>
      <c r="AL652" s="1"/>
    </row>
    <row r="653" spans="31:38" ht="14.4" x14ac:dyDescent="0.3">
      <c r="AE653" s="1"/>
      <c r="AH653" s="1"/>
      <c r="AI653" s="1"/>
      <c r="AL653" s="1"/>
    </row>
    <row r="654" spans="31:38" ht="14.4" x14ac:dyDescent="0.3">
      <c r="AE654" s="1"/>
      <c r="AH654" s="1"/>
      <c r="AI654" s="1"/>
      <c r="AL654" s="1"/>
    </row>
    <row r="655" spans="31:38" ht="14.4" x14ac:dyDescent="0.3">
      <c r="AE655" s="1"/>
      <c r="AH655" s="1"/>
      <c r="AI655" s="1"/>
      <c r="AL655" s="1"/>
    </row>
    <row r="656" spans="31:38" ht="14.4" x14ac:dyDescent="0.3">
      <c r="AE656" s="1"/>
      <c r="AH656" s="1"/>
      <c r="AI656" s="1"/>
      <c r="AL656" s="1"/>
    </row>
    <row r="657" spans="31:38" ht="14.4" x14ac:dyDescent="0.3">
      <c r="AE657" s="1"/>
      <c r="AH657" s="1"/>
      <c r="AI657" s="1"/>
      <c r="AL657" s="1"/>
    </row>
    <row r="658" spans="31:38" ht="14.4" x14ac:dyDescent="0.3">
      <c r="AE658" s="1"/>
      <c r="AH658" s="1"/>
      <c r="AI658" s="1"/>
      <c r="AL658" s="1"/>
    </row>
    <row r="659" spans="31:38" ht="14.4" x14ac:dyDescent="0.3">
      <c r="AE659" s="1"/>
      <c r="AH659" s="1"/>
      <c r="AI659" s="1"/>
      <c r="AL659" s="1"/>
    </row>
    <row r="660" spans="31:38" ht="14.4" x14ac:dyDescent="0.3">
      <c r="AE660" s="1"/>
      <c r="AH660" s="1"/>
      <c r="AI660" s="1"/>
      <c r="AL660" s="1"/>
    </row>
    <row r="661" spans="31:38" ht="14.4" x14ac:dyDescent="0.3">
      <c r="AE661" s="1"/>
      <c r="AH661" s="1"/>
      <c r="AI661" s="1"/>
      <c r="AL661" s="1"/>
    </row>
    <row r="662" spans="31:38" ht="14.4" x14ac:dyDescent="0.3">
      <c r="AE662" s="1"/>
      <c r="AH662" s="1"/>
      <c r="AI662" s="1"/>
      <c r="AL662" s="1"/>
    </row>
    <row r="663" spans="31:38" ht="14.4" x14ac:dyDescent="0.3">
      <c r="AE663" s="1"/>
      <c r="AH663" s="1"/>
      <c r="AI663" s="1"/>
      <c r="AL663" s="1"/>
    </row>
    <row r="664" spans="31:38" ht="14.4" x14ac:dyDescent="0.3">
      <c r="AE664" s="1"/>
      <c r="AH664" s="1"/>
      <c r="AI664" s="1"/>
      <c r="AL664" s="1"/>
    </row>
    <row r="665" spans="31:38" ht="14.4" x14ac:dyDescent="0.3">
      <c r="AE665" s="1"/>
      <c r="AH665" s="1"/>
      <c r="AI665" s="1"/>
      <c r="AL665" s="1"/>
    </row>
    <row r="666" spans="31:38" ht="14.4" x14ac:dyDescent="0.3">
      <c r="AE666" s="1"/>
      <c r="AH666" s="1"/>
      <c r="AI666" s="1"/>
      <c r="AL666" s="1"/>
    </row>
    <row r="667" spans="31:38" ht="14.4" x14ac:dyDescent="0.3">
      <c r="AE667" s="1"/>
      <c r="AH667" s="1"/>
      <c r="AI667" s="1"/>
      <c r="AL667" s="1"/>
    </row>
    <row r="668" spans="31:38" ht="14.4" x14ac:dyDescent="0.3">
      <c r="AE668" s="1"/>
      <c r="AH668" s="1"/>
      <c r="AI668" s="1"/>
      <c r="AL668" s="1"/>
    </row>
    <row r="669" spans="31:38" ht="14.4" x14ac:dyDescent="0.3">
      <c r="AE669" s="1"/>
      <c r="AH669" s="1"/>
      <c r="AI669" s="1"/>
      <c r="AL669" s="1"/>
    </row>
    <row r="670" spans="31:38" ht="14.4" x14ac:dyDescent="0.3">
      <c r="AE670" s="1"/>
      <c r="AH670" s="1"/>
      <c r="AI670" s="1"/>
      <c r="AL670" s="1"/>
    </row>
    <row r="671" spans="31:38" ht="14.4" x14ac:dyDescent="0.3">
      <c r="AE671" s="1"/>
      <c r="AH671" s="1"/>
      <c r="AI671" s="1"/>
      <c r="AL671" s="1"/>
    </row>
    <row r="672" spans="31:38" ht="14.4" x14ac:dyDescent="0.3">
      <c r="AE672" s="1"/>
      <c r="AH672" s="1"/>
      <c r="AI672" s="1"/>
      <c r="AL672" s="1"/>
    </row>
    <row r="673" spans="31:38" ht="14.4" x14ac:dyDescent="0.3">
      <c r="AE673" s="1"/>
      <c r="AH673" s="1"/>
      <c r="AI673" s="1"/>
      <c r="AL673" s="1"/>
    </row>
    <row r="674" spans="31:38" ht="14.4" x14ac:dyDescent="0.3">
      <c r="AE674" s="1"/>
      <c r="AH674" s="1"/>
      <c r="AI674" s="1"/>
      <c r="AL674" s="1"/>
    </row>
    <row r="675" spans="31:38" ht="14.4" x14ac:dyDescent="0.3">
      <c r="AE675" s="1"/>
      <c r="AH675" s="1"/>
      <c r="AI675" s="1"/>
      <c r="AL675" s="1"/>
    </row>
    <row r="676" spans="31:38" ht="14.4" x14ac:dyDescent="0.3">
      <c r="AE676" s="1"/>
      <c r="AH676" s="1"/>
      <c r="AI676" s="1"/>
      <c r="AL676" s="1"/>
    </row>
    <row r="677" spans="31:38" ht="14.4" x14ac:dyDescent="0.3">
      <c r="AE677" s="1"/>
      <c r="AH677" s="1"/>
      <c r="AI677" s="1"/>
      <c r="AL677" s="1"/>
    </row>
    <row r="678" spans="31:38" ht="14.4" x14ac:dyDescent="0.3">
      <c r="AE678" s="1"/>
      <c r="AH678" s="1"/>
      <c r="AI678" s="1"/>
      <c r="AL678" s="1"/>
    </row>
    <row r="679" spans="31:38" ht="14.4" x14ac:dyDescent="0.3">
      <c r="AE679" s="1"/>
      <c r="AH679" s="1"/>
      <c r="AI679" s="1"/>
      <c r="AL679" s="1"/>
    </row>
    <row r="680" spans="31:38" ht="14.4" x14ac:dyDescent="0.3">
      <c r="AE680" s="1"/>
      <c r="AH680" s="1"/>
      <c r="AI680" s="1"/>
      <c r="AL680" s="1"/>
    </row>
    <row r="681" spans="31:38" ht="14.4" x14ac:dyDescent="0.3">
      <c r="AE681" s="1"/>
      <c r="AH681" s="1"/>
      <c r="AI681" s="1"/>
      <c r="AL681" s="1"/>
    </row>
    <row r="682" spans="31:38" ht="14.4" x14ac:dyDescent="0.3">
      <c r="AE682" s="1"/>
      <c r="AH682" s="1"/>
      <c r="AI682" s="1"/>
      <c r="AL682" s="1"/>
    </row>
    <row r="683" spans="31:38" ht="14.4" x14ac:dyDescent="0.3">
      <c r="AE683" s="1"/>
      <c r="AH683" s="1"/>
      <c r="AI683" s="1"/>
      <c r="AL683" s="1"/>
    </row>
    <row r="684" spans="31:38" ht="14.4" x14ac:dyDescent="0.3">
      <c r="AE684" s="1"/>
      <c r="AH684" s="1"/>
      <c r="AI684" s="1"/>
      <c r="AL684" s="1"/>
    </row>
    <row r="685" spans="31:38" ht="14.4" x14ac:dyDescent="0.3">
      <c r="AE685" s="1"/>
      <c r="AH685" s="1"/>
      <c r="AI685" s="1"/>
      <c r="AL685" s="1"/>
    </row>
    <row r="686" spans="31:38" ht="14.4" x14ac:dyDescent="0.3">
      <c r="AE686" s="1"/>
      <c r="AH686" s="1"/>
      <c r="AI686" s="1"/>
      <c r="AL686" s="1"/>
    </row>
    <row r="687" spans="31:38" ht="14.4" x14ac:dyDescent="0.3">
      <c r="AE687" s="1"/>
      <c r="AH687" s="1"/>
      <c r="AI687" s="1"/>
      <c r="AL687" s="1"/>
    </row>
    <row r="688" spans="31:38" ht="14.4" x14ac:dyDescent="0.3">
      <c r="AE688" s="1"/>
      <c r="AH688" s="1"/>
      <c r="AI688" s="1"/>
      <c r="AL688" s="1"/>
    </row>
    <row r="689" spans="31:38" ht="14.4" x14ac:dyDescent="0.3">
      <c r="AE689" s="1"/>
      <c r="AH689" s="1"/>
      <c r="AI689" s="1"/>
      <c r="AL689" s="1"/>
    </row>
    <row r="690" spans="31:38" ht="14.4" x14ac:dyDescent="0.3">
      <c r="AE690" s="1"/>
      <c r="AH690" s="1"/>
      <c r="AI690" s="1"/>
      <c r="AL690" s="1"/>
    </row>
    <row r="691" spans="31:38" ht="14.4" x14ac:dyDescent="0.3">
      <c r="AE691" s="1"/>
      <c r="AH691" s="1"/>
      <c r="AI691" s="1"/>
      <c r="AL691" s="1"/>
    </row>
    <row r="692" spans="31:38" ht="14.4" x14ac:dyDescent="0.3">
      <c r="AE692" s="1"/>
      <c r="AH692" s="1"/>
      <c r="AI692" s="1"/>
      <c r="AL692" s="1"/>
    </row>
    <row r="693" spans="31:38" ht="14.4" x14ac:dyDescent="0.3">
      <c r="AE693" s="1"/>
      <c r="AH693" s="1"/>
      <c r="AI693" s="1"/>
      <c r="AL693" s="1"/>
    </row>
    <row r="694" spans="31:38" ht="14.4" x14ac:dyDescent="0.3">
      <c r="AE694" s="1"/>
      <c r="AH694" s="1"/>
      <c r="AI694" s="1"/>
      <c r="AL694" s="1"/>
    </row>
    <row r="695" spans="31:38" ht="14.4" x14ac:dyDescent="0.3">
      <c r="AE695" s="1"/>
      <c r="AH695" s="1"/>
      <c r="AI695" s="1"/>
      <c r="AL695" s="1"/>
    </row>
    <row r="696" spans="31:38" ht="14.4" x14ac:dyDescent="0.3">
      <c r="AE696" s="1"/>
      <c r="AH696" s="1"/>
      <c r="AI696" s="1"/>
      <c r="AL696" s="1"/>
    </row>
    <row r="697" spans="31:38" ht="14.4" x14ac:dyDescent="0.3">
      <c r="AE697" s="1"/>
      <c r="AH697" s="1"/>
      <c r="AI697" s="1"/>
      <c r="AL697" s="1"/>
    </row>
    <row r="698" spans="31:38" ht="14.4" x14ac:dyDescent="0.3">
      <c r="AE698" s="1"/>
      <c r="AH698" s="1"/>
      <c r="AI698" s="1"/>
      <c r="AL698" s="1"/>
    </row>
    <row r="699" spans="31:38" ht="14.4" x14ac:dyDescent="0.3">
      <c r="AE699" s="1"/>
      <c r="AH699" s="1"/>
      <c r="AI699" s="1"/>
      <c r="AL699" s="1"/>
    </row>
    <row r="700" spans="31:38" ht="14.4" x14ac:dyDescent="0.3">
      <c r="AE700" s="1"/>
      <c r="AH700" s="1"/>
      <c r="AI700" s="1"/>
      <c r="AL700" s="1"/>
    </row>
    <row r="701" spans="31:38" ht="14.4" x14ac:dyDescent="0.3">
      <c r="AE701" s="1"/>
      <c r="AH701" s="1"/>
      <c r="AI701" s="1"/>
      <c r="AL701" s="1"/>
    </row>
    <row r="702" spans="31:38" ht="14.4" x14ac:dyDescent="0.3">
      <c r="AE702" s="1"/>
      <c r="AH702" s="1"/>
      <c r="AI702" s="1"/>
      <c r="AL702" s="1"/>
    </row>
    <row r="703" spans="31:38" ht="14.4" x14ac:dyDescent="0.3">
      <c r="AE703" s="1"/>
      <c r="AH703" s="1"/>
      <c r="AI703" s="1"/>
      <c r="AL703" s="1"/>
    </row>
    <row r="704" spans="31:38" ht="14.4" x14ac:dyDescent="0.3">
      <c r="AE704" s="1"/>
      <c r="AH704" s="1"/>
      <c r="AI704" s="1"/>
      <c r="AL704" s="1"/>
    </row>
    <row r="705" spans="31:38" ht="14.4" x14ac:dyDescent="0.3">
      <c r="AE705" s="1"/>
      <c r="AH705" s="1"/>
      <c r="AI705" s="1"/>
      <c r="AL705" s="1"/>
    </row>
    <row r="706" spans="31:38" ht="14.4" x14ac:dyDescent="0.3">
      <c r="AE706" s="1"/>
      <c r="AH706" s="1"/>
      <c r="AI706" s="1"/>
      <c r="AL706" s="1"/>
    </row>
    <row r="707" spans="31:38" ht="14.4" x14ac:dyDescent="0.3">
      <c r="AE707" s="1"/>
      <c r="AH707" s="1"/>
      <c r="AI707" s="1"/>
      <c r="AL707" s="1"/>
    </row>
    <row r="708" spans="31:38" ht="14.4" x14ac:dyDescent="0.3">
      <c r="AE708" s="1"/>
      <c r="AH708" s="1"/>
      <c r="AI708" s="1"/>
      <c r="AL708" s="1"/>
    </row>
    <row r="709" spans="31:38" ht="14.4" x14ac:dyDescent="0.3">
      <c r="AE709" s="1"/>
      <c r="AH709" s="1"/>
      <c r="AI709" s="1"/>
      <c r="AL709" s="1"/>
    </row>
    <row r="710" spans="31:38" ht="14.4" x14ac:dyDescent="0.3">
      <c r="AE710" s="1"/>
      <c r="AH710" s="1"/>
      <c r="AI710" s="1"/>
      <c r="AL710" s="1"/>
    </row>
    <row r="711" spans="31:38" ht="14.4" x14ac:dyDescent="0.3">
      <c r="AE711" s="1"/>
      <c r="AH711" s="1"/>
      <c r="AI711" s="1"/>
      <c r="AL711" s="1"/>
    </row>
    <row r="712" spans="31:38" ht="14.4" x14ac:dyDescent="0.3">
      <c r="AE712" s="1"/>
      <c r="AH712" s="1"/>
      <c r="AI712" s="1"/>
      <c r="AL712" s="1"/>
    </row>
    <row r="713" spans="31:38" ht="14.4" x14ac:dyDescent="0.3">
      <c r="AE713" s="1"/>
      <c r="AH713" s="1"/>
      <c r="AI713" s="1"/>
      <c r="AL713" s="1"/>
    </row>
    <row r="714" spans="31:38" ht="14.4" x14ac:dyDescent="0.3">
      <c r="AE714" s="1"/>
      <c r="AH714" s="1"/>
      <c r="AI714" s="1"/>
      <c r="AL714" s="1"/>
    </row>
    <row r="715" spans="31:38" ht="14.4" x14ac:dyDescent="0.3">
      <c r="AE715" s="1"/>
      <c r="AH715" s="1"/>
      <c r="AI715" s="1"/>
      <c r="AL715" s="1"/>
    </row>
    <row r="716" spans="31:38" ht="14.4" x14ac:dyDescent="0.3">
      <c r="AE716" s="1"/>
      <c r="AH716" s="1"/>
      <c r="AI716" s="1"/>
      <c r="AL716" s="1"/>
    </row>
    <row r="717" spans="31:38" ht="14.4" x14ac:dyDescent="0.3">
      <c r="AE717" s="1"/>
      <c r="AH717" s="1"/>
      <c r="AI717" s="1"/>
      <c r="AL717" s="1"/>
    </row>
    <row r="718" spans="31:38" ht="14.4" x14ac:dyDescent="0.3">
      <c r="AE718" s="1"/>
      <c r="AH718" s="1"/>
      <c r="AI718" s="1"/>
      <c r="AL718" s="1"/>
    </row>
    <row r="719" spans="31:38" ht="14.4" x14ac:dyDescent="0.3">
      <c r="AE719" s="1"/>
      <c r="AH719" s="1"/>
      <c r="AI719" s="1"/>
      <c r="AL719" s="1"/>
    </row>
    <row r="720" spans="31:38" ht="14.4" x14ac:dyDescent="0.3">
      <c r="AE720" s="1"/>
      <c r="AH720" s="1"/>
      <c r="AI720" s="1"/>
      <c r="AL720" s="1"/>
    </row>
    <row r="721" spans="31:38" ht="14.4" x14ac:dyDescent="0.3">
      <c r="AE721" s="1"/>
      <c r="AH721" s="1"/>
      <c r="AI721" s="1"/>
      <c r="AL721" s="1"/>
    </row>
    <row r="722" spans="31:38" ht="14.4" x14ac:dyDescent="0.3">
      <c r="AE722" s="1"/>
      <c r="AH722" s="1"/>
      <c r="AI722" s="1"/>
      <c r="AL722" s="1"/>
    </row>
    <row r="723" spans="31:38" ht="14.4" x14ac:dyDescent="0.3">
      <c r="AE723" s="1"/>
      <c r="AH723" s="1"/>
      <c r="AI723" s="1"/>
      <c r="AL723" s="1"/>
    </row>
    <row r="724" spans="31:38" ht="14.4" x14ac:dyDescent="0.3">
      <c r="AE724" s="1"/>
      <c r="AH724" s="1"/>
      <c r="AI724" s="1"/>
      <c r="AL724" s="1"/>
    </row>
    <row r="725" spans="31:38" ht="14.4" x14ac:dyDescent="0.3">
      <c r="AE725" s="1"/>
      <c r="AH725" s="1"/>
      <c r="AI725" s="1"/>
      <c r="AL725" s="1"/>
    </row>
    <row r="726" spans="31:38" ht="14.4" x14ac:dyDescent="0.3">
      <c r="AE726" s="1"/>
      <c r="AH726" s="1"/>
      <c r="AI726" s="1"/>
      <c r="AL726" s="1"/>
    </row>
    <row r="727" spans="31:38" ht="14.4" x14ac:dyDescent="0.3">
      <c r="AE727" s="1"/>
      <c r="AH727" s="1"/>
      <c r="AI727" s="1"/>
      <c r="AL727" s="1"/>
    </row>
    <row r="728" spans="31:38" ht="14.4" x14ac:dyDescent="0.3">
      <c r="AE728" s="1"/>
      <c r="AH728" s="1"/>
      <c r="AI728" s="1"/>
      <c r="AL728" s="1"/>
    </row>
    <row r="729" spans="31:38" ht="14.4" x14ac:dyDescent="0.3">
      <c r="AE729" s="1"/>
      <c r="AH729" s="1"/>
      <c r="AI729" s="1"/>
      <c r="AL729" s="1"/>
    </row>
    <row r="730" spans="31:38" ht="14.4" x14ac:dyDescent="0.3">
      <c r="AE730" s="1"/>
      <c r="AH730" s="1"/>
      <c r="AI730" s="1"/>
      <c r="AL730" s="1"/>
    </row>
    <row r="731" spans="31:38" ht="14.4" x14ac:dyDescent="0.3">
      <c r="AE731" s="1"/>
      <c r="AH731" s="1"/>
      <c r="AI731" s="1"/>
      <c r="AL731" s="1"/>
    </row>
    <row r="732" spans="31:38" ht="14.4" x14ac:dyDescent="0.3">
      <c r="AE732" s="1"/>
      <c r="AH732" s="1"/>
      <c r="AI732" s="1"/>
      <c r="AL732" s="1"/>
    </row>
    <row r="733" spans="31:38" ht="14.4" x14ac:dyDescent="0.3">
      <c r="AE733" s="1"/>
      <c r="AH733" s="1"/>
      <c r="AI733" s="1"/>
      <c r="AL733" s="1"/>
    </row>
    <row r="734" spans="31:38" ht="14.4" x14ac:dyDescent="0.3">
      <c r="AE734" s="1"/>
      <c r="AH734" s="1"/>
      <c r="AI734" s="1"/>
      <c r="AL734" s="1"/>
    </row>
    <row r="735" spans="31:38" ht="14.4" x14ac:dyDescent="0.3">
      <c r="AE735" s="1"/>
      <c r="AH735" s="1"/>
      <c r="AI735" s="1"/>
      <c r="AL735" s="1"/>
    </row>
    <row r="736" spans="31:38" ht="14.4" x14ac:dyDescent="0.3">
      <c r="AE736" s="1"/>
      <c r="AH736" s="1"/>
      <c r="AI736" s="1"/>
      <c r="AL736" s="1"/>
    </row>
    <row r="737" spans="31:38" ht="14.4" x14ac:dyDescent="0.3">
      <c r="AE737" s="1"/>
      <c r="AH737" s="1"/>
      <c r="AI737" s="1"/>
      <c r="AL737" s="1"/>
    </row>
    <row r="738" spans="31:38" ht="14.4" x14ac:dyDescent="0.3">
      <c r="AE738" s="1"/>
      <c r="AH738" s="1"/>
      <c r="AI738" s="1"/>
      <c r="AL738" s="1"/>
    </row>
    <row r="739" spans="31:38" ht="14.4" x14ac:dyDescent="0.3">
      <c r="AE739" s="1"/>
      <c r="AH739" s="1"/>
      <c r="AI739" s="1"/>
      <c r="AL739" s="1"/>
    </row>
    <row r="740" spans="31:38" ht="14.4" x14ac:dyDescent="0.3">
      <c r="AE740" s="1"/>
      <c r="AH740" s="1"/>
      <c r="AI740" s="1"/>
      <c r="AL740" s="1"/>
    </row>
    <row r="741" spans="31:38" ht="14.4" x14ac:dyDescent="0.3">
      <c r="AE741" s="1"/>
      <c r="AH741" s="1"/>
      <c r="AI741" s="1"/>
      <c r="AL741" s="1"/>
    </row>
    <row r="742" spans="31:38" ht="14.4" x14ac:dyDescent="0.3">
      <c r="AE742" s="1"/>
      <c r="AH742" s="1"/>
      <c r="AI742" s="1"/>
      <c r="AL742" s="1"/>
    </row>
    <row r="743" spans="31:38" ht="14.4" x14ac:dyDescent="0.3">
      <c r="AE743" s="1"/>
      <c r="AH743" s="1"/>
      <c r="AI743" s="1"/>
      <c r="AL743" s="1"/>
    </row>
    <row r="744" spans="31:38" ht="14.4" x14ac:dyDescent="0.3">
      <c r="AE744" s="1"/>
      <c r="AH744" s="1"/>
      <c r="AI744" s="1"/>
      <c r="AL744" s="1"/>
    </row>
    <row r="745" spans="31:38" ht="14.4" x14ac:dyDescent="0.3">
      <c r="AE745" s="1"/>
      <c r="AH745" s="1"/>
      <c r="AI745" s="1"/>
      <c r="AL745" s="1"/>
    </row>
    <row r="746" spans="31:38" ht="14.4" x14ac:dyDescent="0.3">
      <c r="AE746" s="1"/>
      <c r="AH746" s="1"/>
      <c r="AI746" s="1"/>
      <c r="AL746" s="1"/>
    </row>
    <row r="747" spans="31:38" ht="14.4" x14ac:dyDescent="0.3">
      <c r="AE747" s="1"/>
      <c r="AH747" s="1"/>
      <c r="AI747" s="1"/>
      <c r="AL747" s="1"/>
    </row>
    <row r="748" spans="31:38" ht="14.4" x14ac:dyDescent="0.3">
      <c r="AE748" s="1"/>
      <c r="AH748" s="1"/>
      <c r="AI748" s="1"/>
      <c r="AL748" s="1"/>
    </row>
    <row r="749" spans="31:38" ht="14.4" x14ac:dyDescent="0.3">
      <c r="AE749" s="1"/>
      <c r="AH749" s="1"/>
      <c r="AI749" s="1"/>
      <c r="AL749" s="1"/>
    </row>
    <row r="750" spans="31:38" ht="14.4" x14ac:dyDescent="0.3">
      <c r="AE750" s="1"/>
      <c r="AH750" s="1"/>
      <c r="AI750" s="1"/>
      <c r="AL750" s="1"/>
    </row>
    <row r="751" spans="31:38" ht="14.4" x14ac:dyDescent="0.3">
      <c r="AE751" s="1"/>
      <c r="AH751" s="1"/>
      <c r="AI751" s="1"/>
      <c r="AL751" s="1"/>
    </row>
    <row r="752" spans="31:38" ht="14.4" x14ac:dyDescent="0.3">
      <c r="AE752" s="1"/>
      <c r="AH752" s="1"/>
      <c r="AI752" s="1"/>
      <c r="AL752" s="1"/>
    </row>
    <row r="753" spans="31:38" ht="14.4" x14ac:dyDescent="0.3">
      <c r="AE753" s="1"/>
      <c r="AH753" s="1"/>
      <c r="AI753" s="1"/>
      <c r="AL753" s="1"/>
    </row>
    <row r="754" spans="31:38" ht="14.4" x14ac:dyDescent="0.3">
      <c r="AE754" s="1"/>
      <c r="AH754" s="1"/>
      <c r="AI754" s="1"/>
      <c r="AL754" s="1"/>
    </row>
    <row r="755" spans="31:38" ht="14.4" x14ac:dyDescent="0.3">
      <c r="AE755" s="1"/>
      <c r="AH755" s="1"/>
      <c r="AI755" s="1"/>
      <c r="AL755" s="1"/>
    </row>
    <row r="756" spans="31:38" ht="14.4" x14ac:dyDescent="0.3">
      <c r="AE756" s="1"/>
      <c r="AH756" s="1"/>
      <c r="AI756" s="1"/>
      <c r="AL756" s="1"/>
    </row>
    <row r="757" spans="31:38" ht="14.4" x14ac:dyDescent="0.3">
      <c r="AE757" s="1"/>
      <c r="AH757" s="1"/>
      <c r="AI757" s="1"/>
      <c r="AL757" s="1"/>
    </row>
    <row r="758" spans="31:38" ht="14.4" x14ac:dyDescent="0.3">
      <c r="AE758" s="1"/>
      <c r="AH758" s="1"/>
      <c r="AI758" s="1"/>
      <c r="AL758" s="1"/>
    </row>
    <row r="759" spans="31:38" ht="14.4" x14ac:dyDescent="0.3">
      <c r="AE759" s="1"/>
      <c r="AH759" s="1"/>
      <c r="AI759" s="1"/>
      <c r="AL759" s="1"/>
    </row>
    <row r="760" spans="31:38" ht="14.4" x14ac:dyDescent="0.3">
      <c r="AE760" s="1"/>
      <c r="AH760" s="1"/>
      <c r="AI760" s="1"/>
      <c r="AL760" s="1"/>
    </row>
    <row r="761" spans="31:38" ht="14.4" x14ac:dyDescent="0.3">
      <c r="AE761" s="1"/>
      <c r="AH761" s="1"/>
      <c r="AI761" s="1"/>
      <c r="AL761" s="1"/>
    </row>
    <row r="762" spans="31:38" ht="14.4" x14ac:dyDescent="0.3">
      <c r="AE762" s="1"/>
      <c r="AH762" s="1"/>
      <c r="AI762" s="1"/>
      <c r="AL762" s="1"/>
    </row>
    <row r="763" spans="31:38" ht="14.4" x14ac:dyDescent="0.3">
      <c r="AE763" s="1"/>
      <c r="AH763" s="1"/>
      <c r="AI763" s="1"/>
      <c r="AL763" s="1"/>
    </row>
    <row r="764" spans="31:38" ht="14.4" x14ac:dyDescent="0.3">
      <c r="AE764" s="1"/>
      <c r="AH764" s="1"/>
      <c r="AI764" s="1"/>
      <c r="AL764" s="1"/>
    </row>
    <row r="765" spans="31:38" ht="14.4" x14ac:dyDescent="0.3">
      <c r="AE765" s="1"/>
      <c r="AH765" s="1"/>
      <c r="AI765" s="1"/>
      <c r="AL765" s="1"/>
    </row>
    <row r="766" spans="31:38" ht="14.4" x14ac:dyDescent="0.3">
      <c r="AE766" s="1"/>
      <c r="AH766" s="1"/>
      <c r="AI766" s="1"/>
      <c r="AL766" s="1"/>
    </row>
    <row r="767" spans="31:38" ht="14.4" x14ac:dyDescent="0.3">
      <c r="AE767" s="1"/>
      <c r="AH767" s="1"/>
      <c r="AI767" s="1"/>
      <c r="AL767" s="1"/>
    </row>
    <row r="768" spans="31:38" ht="14.4" x14ac:dyDescent="0.3">
      <c r="AE768" s="1"/>
      <c r="AH768" s="1"/>
      <c r="AI768" s="1"/>
      <c r="AL768" s="1"/>
    </row>
    <row r="769" spans="31:38" ht="14.4" x14ac:dyDescent="0.3">
      <c r="AE769" s="1"/>
      <c r="AH769" s="1"/>
      <c r="AI769" s="1"/>
      <c r="AL769" s="1"/>
    </row>
    <row r="770" spans="31:38" ht="14.4" x14ac:dyDescent="0.3">
      <c r="AE770" s="1"/>
      <c r="AH770" s="1"/>
      <c r="AI770" s="1"/>
      <c r="AL770" s="1"/>
    </row>
    <row r="771" spans="31:38" ht="14.4" x14ac:dyDescent="0.3">
      <c r="AE771" s="1"/>
      <c r="AH771" s="1"/>
      <c r="AI771" s="1"/>
      <c r="AL771" s="1"/>
    </row>
    <row r="772" spans="31:38" ht="14.4" x14ac:dyDescent="0.3">
      <c r="AE772" s="1"/>
      <c r="AH772" s="1"/>
      <c r="AI772" s="1"/>
      <c r="AL772" s="1"/>
    </row>
    <row r="773" spans="31:38" ht="14.4" x14ac:dyDescent="0.3">
      <c r="AE773" s="1"/>
      <c r="AH773" s="1"/>
      <c r="AI773" s="1"/>
      <c r="AL773" s="1"/>
    </row>
    <row r="774" spans="31:38" ht="14.4" x14ac:dyDescent="0.3">
      <c r="AE774" s="1"/>
      <c r="AH774" s="1"/>
      <c r="AI774" s="1"/>
      <c r="AL774" s="1"/>
    </row>
    <row r="775" spans="31:38" ht="14.4" x14ac:dyDescent="0.3">
      <c r="AE775" s="1"/>
      <c r="AH775" s="1"/>
      <c r="AI775" s="1"/>
      <c r="AL775" s="1"/>
    </row>
    <row r="776" spans="31:38" ht="14.4" x14ac:dyDescent="0.3">
      <c r="AE776" s="1"/>
      <c r="AH776" s="1"/>
      <c r="AI776" s="1"/>
      <c r="AL776" s="1"/>
    </row>
    <row r="777" spans="31:38" ht="14.4" x14ac:dyDescent="0.3">
      <c r="AE777" s="1"/>
      <c r="AH777" s="1"/>
      <c r="AI777" s="1"/>
      <c r="AL777" s="1"/>
    </row>
    <row r="778" spans="31:38" ht="14.4" x14ac:dyDescent="0.3">
      <c r="AE778" s="1"/>
      <c r="AH778" s="1"/>
      <c r="AI778" s="1"/>
      <c r="AL778" s="1"/>
    </row>
    <row r="779" spans="31:38" ht="14.4" x14ac:dyDescent="0.3">
      <c r="AE779" s="1"/>
      <c r="AH779" s="1"/>
      <c r="AI779" s="1"/>
      <c r="AL779" s="1"/>
    </row>
    <row r="780" spans="31:38" ht="14.4" x14ac:dyDescent="0.3">
      <c r="AE780" s="1"/>
      <c r="AH780" s="1"/>
      <c r="AI780" s="1"/>
      <c r="AL780" s="1"/>
    </row>
    <row r="781" spans="31:38" ht="14.4" x14ac:dyDescent="0.3">
      <c r="AE781" s="1"/>
      <c r="AH781" s="1"/>
      <c r="AI781" s="1"/>
      <c r="AL781" s="1"/>
    </row>
    <row r="782" spans="31:38" ht="14.4" x14ac:dyDescent="0.3">
      <c r="AE782" s="1"/>
      <c r="AH782" s="1"/>
      <c r="AI782" s="1"/>
      <c r="AL782" s="1"/>
    </row>
    <row r="783" spans="31:38" ht="14.4" x14ac:dyDescent="0.3">
      <c r="AE783" s="1"/>
      <c r="AH783" s="1"/>
      <c r="AI783" s="1"/>
      <c r="AL783" s="1"/>
    </row>
    <row r="784" spans="31:38" ht="14.4" x14ac:dyDescent="0.3">
      <c r="AE784" s="1"/>
      <c r="AH784" s="1"/>
      <c r="AI784" s="1"/>
      <c r="AL784" s="1"/>
    </row>
    <row r="785" spans="31:38" ht="14.4" x14ac:dyDescent="0.3">
      <c r="AE785" s="1"/>
      <c r="AH785" s="1"/>
      <c r="AI785" s="1"/>
      <c r="AL785" s="1"/>
    </row>
    <row r="786" spans="31:38" ht="14.4" x14ac:dyDescent="0.3">
      <c r="AE786" s="1"/>
      <c r="AH786" s="1"/>
      <c r="AI786" s="1"/>
      <c r="AL786" s="1"/>
    </row>
    <row r="787" spans="31:38" ht="14.4" x14ac:dyDescent="0.3">
      <c r="AE787" s="1"/>
      <c r="AH787" s="1"/>
      <c r="AI787" s="1"/>
      <c r="AL787" s="1"/>
    </row>
    <row r="788" spans="31:38" ht="14.4" x14ac:dyDescent="0.3">
      <c r="AE788" s="1"/>
      <c r="AH788" s="1"/>
      <c r="AI788" s="1"/>
      <c r="AL788" s="1"/>
    </row>
    <row r="789" spans="31:38" ht="14.4" x14ac:dyDescent="0.3">
      <c r="AE789" s="1"/>
      <c r="AH789" s="1"/>
      <c r="AI789" s="1"/>
      <c r="AL789" s="1"/>
    </row>
    <row r="790" spans="31:38" ht="14.4" x14ac:dyDescent="0.3">
      <c r="AE790" s="1"/>
      <c r="AH790" s="1"/>
      <c r="AI790" s="1"/>
      <c r="AL790" s="1"/>
    </row>
    <row r="791" spans="31:38" ht="14.4" x14ac:dyDescent="0.3">
      <c r="AE791" s="1"/>
      <c r="AH791" s="1"/>
      <c r="AI791" s="1"/>
      <c r="AL791" s="1"/>
    </row>
    <row r="792" spans="31:38" ht="14.4" x14ac:dyDescent="0.3">
      <c r="AE792" s="1"/>
      <c r="AH792" s="1"/>
      <c r="AI792" s="1"/>
      <c r="AL792" s="1"/>
    </row>
    <row r="793" spans="31:38" ht="14.4" x14ac:dyDescent="0.3">
      <c r="AE793" s="1"/>
      <c r="AH793" s="1"/>
      <c r="AI793" s="1"/>
      <c r="AL793" s="1"/>
    </row>
    <row r="794" spans="31:38" ht="14.4" x14ac:dyDescent="0.3">
      <c r="AE794" s="1"/>
      <c r="AH794" s="1"/>
      <c r="AI794" s="1"/>
      <c r="AL794" s="1"/>
    </row>
    <row r="795" spans="31:38" ht="14.4" x14ac:dyDescent="0.3">
      <c r="AE795" s="1"/>
      <c r="AH795" s="1"/>
      <c r="AI795" s="1"/>
      <c r="AL795" s="1"/>
    </row>
    <row r="796" spans="31:38" ht="14.4" x14ac:dyDescent="0.3">
      <c r="AE796" s="1"/>
      <c r="AH796" s="1"/>
      <c r="AI796" s="1"/>
      <c r="AL796" s="1"/>
    </row>
    <row r="797" spans="31:38" ht="14.4" x14ac:dyDescent="0.3">
      <c r="AE797" s="1"/>
      <c r="AH797" s="1"/>
      <c r="AI797" s="1"/>
      <c r="AL797" s="1"/>
    </row>
    <row r="798" spans="31:38" ht="14.4" x14ac:dyDescent="0.3">
      <c r="AE798" s="1"/>
      <c r="AH798" s="1"/>
      <c r="AI798" s="1"/>
      <c r="AL798" s="1"/>
    </row>
    <row r="799" spans="31:38" ht="14.4" x14ac:dyDescent="0.3">
      <c r="AE799" s="1"/>
      <c r="AH799" s="1"/>
      <c r="AI799" s="1"/>
      <c r="AL799" s="1"/>
    </row>
    <row r="800" spans="31:38" ht="14.4" x14ac:dyDescent="0.3">
      <c r="AE800" s="1"/>
      <c r="AH800" s="1"/>
      <c r="AI800" s="1"/>
      <c r="AL800" s="1"/>
    </row>
    <row r="801" spans="31:38" ht="14.4" x14ac:dyDescent="0.3">
      <c r="AE801" s="1"/>
      <c r="AH801" s="1"/>
      <c r="AI801" s="1"/>
      <c r="AL801" s="1"/>
    </row>
    <row r="802" spans="31:38" ht="14.4" x14ac:dyDescent="0.3">
      <c r="AE802" s="1"/>
      <c r="AH802" s="1"/>
      <c r="AI802" s="1"/>
      <c r="AL802" s="1"/>
    </row>
    <row r="803" spans="31:38" ht="14.4" x14ac:dyDescent="0.3">
      <c r="AE803" s="1"/>
      <c r="AH803" s="1"/>
      <c r="AI803" s="1"/>
      <c r="AL803" s="1"/>
    </row>
    <row r="804" spans="31:38" ht="14.4" x14ac:dyDescent="0.3">
      <c r="AE804" s="1"/>
      <c r="AH804" s="1"/>
      <c r="AI804" s="1"/>
      <c r="AL804" s="1"/>
    </row>
    <row r="805" spans="31:38" ht="14.4" x14ac:dyDescent="0.3">
      <c r="AE805" s="1"/>
      <c r="AH805" s="1"/>
      <c r="AI805" s="1"/>
      <c r="AL805" s="1"/>
    </row>
    <row r="806" spans="31:38" ht="14.4" x14ac:dyDescent="0.3">
      <c r="AE806" s="1"/>
      <c r="AH806" s="1"/>
      <c r="AI806" s="1"/>
      <c r="AL806" s="1"/>
    </row>
    <row r="807" spans="31:38" ht="14.4" x14ac:dyDescent="0.3">
      <c r="AE807" s="1"/>
      <c r="AH807" s="1"/>
      <c r="AI807" s="1"/>
      <c r="AL807" s="1"/>
    </row>
    <row r="808" spans="31:38" ht="14.4" x14ac:dyDescent="0.3">
      <c r="AE808" s="1"/>
      <c r="AH808" s="1"/>
      <c r="AI808" s="1"/>
      <c r="AL808" s="1"/>
    </row>
    <row r="809" spans="31:38" ht="14.4" x14ac:dyDescent="0.3">
      <c r="AE809" s="1"/>
      <c r="AH809" s="1"/>
      <c r="AI809" s="1"/>
      <c r="AL809" s="1"/>
    </row>
    <row r="810" spans="31:38" ht="14.4" x14ac:dyDescent="0.3">
      <c r="AE810" s="1"/>
      <c r="AH810" s="1"/>
      <c r="AI810" s="1"/>
      <c r="AL810" s="1"/>
    </row>
    <row r="811" spans="31:38" ht="14.4" x14ac:dyDescent="0.3">
      <c r="AE811" s="1"/>
      <c r="AH811" s="1"/>
      <c r="AI811" s="1"/>
      <c r="AL811" s="1"/>
    </row>
    <row r="812" spans="31:38" ht="14.4" x14ac:dyDescent="0.3">
      <c r="AE812" s="1"/>
      <c r="AH812" s="1"/>
      <c r="AI812" s="1"/>
      <c r="AL812" s="1"/>
    </row>
    <row r="813" spans="31:38" ht="14.4" x14ac:dyDescent="0.3">
      <c r="AE813" s="1"/>
      <c r="AH813" s="1"/>
      <c r="AI813" s="1"/>
      <c r="AL813" s="1"/>
    </row>
    <row r="814" spans="31:38" ht="79.95" customHeight="1" x14ac:dyDescent="0.3"/>
    <row r="815" spans="31:38" ht="79.95" customHeight="1" x14ac:dyDescent="0.3"/>
    <row r="816" spans="31:38" ht="79.95" customHeight="1" x14ac:dyDescent="0.3"/>
    <row r="817" ht="79.95" customHeight="1" x14ac:dyDescent="0.3"/>
    <row r="818" ht="79.95" customHeight="1" x14ac:dyDescent="0.3"/>
    <row r="819" ht="79.95" customHeight="1" x14ac:dyDescent="0.3"/>
    <row r="820" ht="79.95" customHeight="1" x14ac:dyDescent="0.3"/>
    <row r="821" ht="79.95" customHeight="1" x14ac:dyDescent="0.3"/>
    <row r="822" ht="79.95" customHeight="1" x14ac:dyDescent="0.3"/>
    <row r="823" ht="79.95" customHeight="1" x14ac:dyDescent="0.3"/>
    <row r="824" ht="79.95" customHeight="1" x14ac:dyDescent="0.3"/>
    <row r="825" ht="79.95" customHeight="1" x14ac:dyDescent="0.3"/>
    <row r="826" ht="79.95" customHeight="1" x14ac:dyDescent="0.3"/>
    <row r="827" ht="79.95" customHeight="1" x14ac:dyDescent="0.3"/>
    <row r="828" ht="79.95" customHeight="1" x14ac:dyDescent="0.3"/>
    <row r="829" ht="79.95" customHeight="1" x14ac:dyDescent="0.3"/>
    <row r="830" ht="79.95" customHeight="1" x14ac:dyDescent="0.3"/>
    <row r="831" ht="79.95" customHeight="1" x14ac:dyDescent="0.3"/>
    <row r="832" ht="79.95" customHeight="1" x14ac:dyDescent="0.3"/>
    <row r="833" ht="79.95" customHeight="1" x14ac:dyDescent="0.3"/>
    <row r="834" ht="79.95" customHeight="1" x14ac:dyDescent="0.3"/>
    <row r="835" ht="79.95" customHeight="1" x14ac:dyDescent="0.3"/>
    <row r="836" ht="79.95" customHeight="1" x14ac:dyDescent="0.3"/>
    <row r="837" ht="79.95" customHeight="1" x14ac:dyDescent="0.3"/>
    <row r="838" ht="79.95" customHeight="1" x14ac:dyDescent="0.3"/>
    <row r="839" ht="79.95" customHeight="1" x14ac:dyDescent="0.3"/>
    <row r="840" ht="79.95" customHeight="1" x14ac:dyDescent="0.3"/>
    <row r="841" ht="79.95" customHeight="1" x14ac:dyDescent="0.3"/>
    <row r="842" ht="79.95" customHeight="1" x14ac:dyDescent="0.3"/>
    <row r="843" ht="79.95" customHeight="1" x14ac:dyDescent="0.3"/>
    <row r="844" ht="79.95" customHeight="1" x14ac:dyDescent="0.3"/>
    <row r="845" ht="79.95" customHeight="1" x14ac:dyDescent="0.3"/>
    <row r="846" ht="79.95" customHeight="1" x14ac:dyDescent="0.3"/>
    <row r="847" ht="79.95" customHeight="1" x14ac:dyDescent="0.3"/>
    <row r="848" ht="79.95" customHeight="1" x14ac:dyDescent="0.3"/>
    <row r="849" ht="79.95" customHeight="1" x14ac:dyDescent="0.3"/>
    <row r="850" ht="79.95" customHeight="1" x14ac:dyDescent="0.3"/>
    <row r="851" ht="79.95" customHeight="1" x14ac:dyDescent="0.3"/>
    <row r="852" ht="79.95" customHeight="1" x14ac:dyDescent="0.3"/>
    <row r="853" ht="79.95" customHeight="1" x14ac:dyDescent="0.3"/>
    <row r="854" ht="79.95" customHeight="1" x14ac:dyDescent="0.3"/>
    <row r="855" ht="79.95" customHeight="1" x14ac:dyDescent="0.3"/>
    <row r="856" ht="79.95" customHeight="1" x14ac:dyDescent="0.3"/>
    <row r="857" ht="79.95" customHeight="1" x14ac:dyDescent="0.3"/>
    <row r="858" ht="79.95" customHeight="1" x14ac:dyDescent="0.3"/>
    <row r="859" ht="79.95" customHeight="1" x14ac:dyDescent="0.3"/>
    <row r="860" ht="79.95" customHeight="1" x14ac:dyDescent="0.3"/>
    <row r="861" ht="79.95" customHeight="1" x14ac:dyDescent="0.3"/>
    <row r="862" ht="79.95" customHeight="1" x14ac:dyDescent="0.3"/>
    <row r="863" ht="79.95" customHeight="1" x14ac:dyDescent="0.3"/>
    <row r="864" ht="79.95" customHeight="1" x14ac:dyDescent="0.3"/>
    <row r="865" ht="79.95" customHeight="1" x14ac:dyDescent="0.3"/>
    <row r="866" ht="79.95" customHeight="1" x14ac:dyDescent="0.3"/>
    <row r="867" ht="79.95" customHeight="1" x14ac:dyDescent="0.3"/>
    <row r="868" ht="79.95" customHeight="1" x14ac:dyDescent="0.3"/>
    <row r="869" ht="79.95" customHeight="1" x14ac:dyDescent="0.3"/>
    <row r="870" ht="79.95" customHeight="1" x14ac:dyDescent="0.3"/>
    <row r="871" ht="79.95" customHeight="1" x14ac:dyDescent="0.3"/>
    <row r="872" ht="79.95" customHeight="1" x14ac:dyDescent="0.3"/>
    <row r="873" ht="79.95" customHeight="1" x14ac:dyDescent="0.3"/>
    <row r="874" ht="79.95" customHeight="1" x14ac:dyDescent="0.3"/>
    <row r="875" ht="79.95" customHeight="1" x14ac:dyDescent="0.3"/>
    <row r="876" ht="79.95" customHeight="1" x14ac:dyDescent="0.3"/>
    <row r="877" ht="79.95" customHeight="1" x14ac:dyDescent="0.3"/>
    <row r="878" ht="79.95" customHeight="1" x14ac:dyDescent="0.3"/>
    <row r="879" ht="79.95" customHeight="1" x14ac:dyDescent="0.3"/>
    <row r="880" ht="79.95" customHeight="1" x14ac:dyDescent="0.3"/>
    <row r="881" ht="79.95" customHeight="1" x14ac:dyDescent="0.3"/>
    <row r="882" ht="79.95" customHeight="1" x14ac:dyDescent="0.3"/>
    <row r="883" ht="79.95" customHeight="1" x14ac:dyDescent="0.3"/>
    <row r="884" ht="79.95" customHeight="1" x14ac:dyDescent="0.3"/>
    <row r="885" ht="79.95" customHeight="1" x14ac:dyDescent="0.3"/>
    <row r="886" ht="79.95" customHeight="1" x14ac:dyDescent="0.3"/>
    <row r="887" ht="79.95" customHeight="1" x14ac:dyDescent="0.3"/>
    <row r="888" ht="79.95" customHeight="1" x14ac:dyDescent="0.3"/>
    <row r="889" ht="79.95" customHeight="1" x14ac:dyDescent="0.3"/>
    <row r="890" ht="79.95" customHeight="1" x14ac:dyDescent="0.3"/>
    <row r="891" ht="79.95" customHeight="1" x14ac:dyDescent="0.3"/>
    <row r="892" ht="79.95" customHeight="1" x14ac:dyDescent="0.3"/>
    <row r="893" ht="79.95" customHeight="1" x14ac:dyDescent="0.3"/>
    <row r="894" ht="79.95" customHeight="1" x14ac:dyDescent="0.3"/>
    <row r="895" ht="79.95" customHeight="1" x14ac:dyDescent="0.3"/>
    <row r="896" ht="79.95" customHeight="1" x14ac:dyDescent="0.3"/>
    <row r="897" ht="79.95" customHeight="1" x14ac:dyDescent="0.3"/>
    <row r="898" ht="79.95" customHeight="1" x14ac:dyDescent="0.3"/>
    <row r="899" ht="79.95" customHeight="1" x14ac:dyDescent="0.3"/>
    <row r="900" ht="79.95" customHeight="1" x14ac:dyDescent="0.3"/>
    <row r="901" ht="79.95" customHeight="1" x14ac:dyDescent="0.3"/>
    <row r="902" ht="79.95" customHeight="1" x14ac:dyDescent="0.3"/>
    <row r="903" ht="79.95" customHeight="1" x14ac:dyDescent="0.3"/>
    <row r="904" ht="79.95" customHeight="1" x14ac:dyDescent="0.3"/>
    <row r="905" ht="79.95" customHeight="1" x14ac:dyDescent="0.3"/>
    <row r="906" ht="79.95" customHeight="1" x14ac:dyDescent="0.3"/>
    <row r="907" ht="79.95" customHeight="1" x14ac:dyDescent="0.3"/>
    <row r="908" ht="79.95" customHeight="1" x14ac:dyDescent="0.3"/>
    <row r="909" ht="79.95" customHeight="1" x14ac:dyDescent="0.3"/>
    <row r="910" ht="79.95" customHeight="1" x14ac:dyDescent="0.3"/>
    <row r="911" ht="79.95" customHeight="1" x14ac:dyDescent="0.3"/>
    <row r="912" ht="79.95" customHeight="1" x14ac:dyDescent="0.3"/>
    <row r="913" ht="79.95" customHeight="1" x14ac:dyDescent="0.3"/>
    <row r="914" ht="79.95" customHeight="1" x14ac:dyDescent="0.3"/>
    <row r="915" ht="79.95" customHeight="1" x14ac:dyDescent="0.3"/>
    <row r="916" ht="79.95" customHeight="1" x14ac:dyDescent="0.3"/>
    <row r="917" ht="79.95" customHeight="1" x14ac:dyDescent="0.3"/>
    <row r="918" ht="79.95" customHeight="1" x14ac:dyDescent="0.3"/>
    <row r="919" ht="79.95" customHeight="1" x14ac:dyDescent="0.3"/>
    <row r="920" ht="79.95" customHeight="1" x14ac:dyDescent="0.3"/>
    <row r="921" ht="79.95" customHeight="1" x14ac:dyDescent="0.3"/>
    <row r="922" ht="79.95" customHeight="1" x14ac:dyDescent="0.3"/>
    <row r="923" ht="79.95" customHeight="1" x14ac:dyDescent="0.3"/>
    <row r="924" ht="79.95" customHeight="1" x14ac:dyDescent="0.3"/>
    <row r="925" ht="79.95" customHeight="1" x14ac:dyDescent="0.3"/>
    <row r="926" ht="79.95" customHeight="1" x14ac:dyDescent="0.3"/>
    <row r="927" ht="79.95" customHeight="1" x14ac:dyDescent="0.3"/>
    <row r="928" ht="79.95" customHeight="1" x14ac:dyDescent="0.3"/>
    <row r="929" ht="79.95" customHeight="1" x14ac:dyDescent="0.3"/>
    <row r="930" ht="79.95" customHeight="1" x14ac:dyDescent="0.3"/>
    <row r="931" ht="79.95" customHeight="1" x14ac:dyDescent="0.3"/>
    <row r="932" ht="79.95" customHeight="1" x14ac:dyDescent="0.3"/>
    <row r="933" ht="79.95" customHeight="1" x14ac:dyDescent="0.3"/>
    <row r="934" ht="79.95" customHeight="1" x14ac:dyDescent="0.3"/>
    <row r="935" ht="79.95" customHeight="1" x14ac:dyDescent="0.3"/>
    <row r="936" ht="79.95" customHeight="1" x14ac:dyDescent="0.3"/>
    <row r="937" ht="79.95" customHeight="1" x14ac:dyDescent="0.3"/>
    <row r="938" ht="79.95" customHeight="1" x14ac:dyDescent="0.3"/>
    <row r="939" ht="79.95" customHeight="1" x14ac:dyDescent="0.3"/>
    <row r="940" ht="79.95" customHeight="1" x14ac:dyDescent="0.3"/>
    <row r="941" ht="79.95" customHeight="1" x14ac:dyDescent="0.3"/>
    <row r="942" ht="79.95" customHeight="1" x14ac:dyDescent="0.3"/>
    <row r="943" ht="79.95" customHeight="1" x14ac:dyDescent="0.3"/>
    <row r="944" ht="79.95" customHeight="1" x14ac:dyDescent="0.3"/>
    <row r="945" ht="79.95" customHeight="1" x14ac:dyDescent="0.3"/>
    <row r="946" ht="79.95" customHeight="1" x14ac:dyDescent="0.3"/>
    <row r="947" ht="79.95" customHeight="1" x14ac:dyDescent="0.3"/>
    <row r="948" ht="79.95" customHeight="1" x14ac:dyDescent="0.3"/>
    <row r="949" ht="79.95" customHeight="1" x14ac:dyDescent="0.3"/>
    <row r="950" ht="79.95" customHeight="1" x14ac:dyDescent="0.3"/>
    <row r="951" ht="79.95" customHeight="1" x14ac:dyDescent="0.3"/>
    <row r="952" ht="79.95" customHeight="1" x14ac:dyDescent="0.3"/>
    <row r="953" ht="79.95" customHeight="1" x14ac:dyDescent="0.3"/>
    <row r="954" ht="79.95" customHeight="1" x14ac:dyDescent="0.3"/>
    <row r="955" ht="79.95" customHeight="1" x14ac:dyDescent="0.3"/>
    <row r="956" ht="79.95" customHeight="1" x14ac:dyDescent="0.3"/>
    <row r="957" ht="79.95" customHeight="1" x14ac:dyDescent="0.3"/>
    <row r="958" ht="79.95" customHeight="1" x14ac:dyDescent="0.3"/>
    <row r="959" ht="79.95" customHeight="1" x14ac:dyDescent="0.3"/>
    <row r="960" ht="79.95" customHeight="1" x14ac:dyDescent="0.3"/>
    <row r="961" ht="79.95" customHeight="1" x14ac:dyDescent="0.3"/>
    <row r="962" ht="79.95" customHeight="1" x14ac:dyDescent="0.3"/>
    <row r="963" ht="79.95" customHeight="1" x14ac:dyDescent="0.3"/>
    <row r="964" ht="79.95" customHeight="1" x14ac:dyDescent="0.3"/>
    <row r="965" ht="79.95" customHeight="1" x14ac:dyDescent="0.3"/>
    <row r="966" ht="79.95" customHeight="1" x14ac:dyDescent="0.3"/>
    <row r="967" ht="79.95" customHeight="1" x14ac:dyDescent="0.3"/>
    <row r="968" ht="79.95" customHeight="1" x14ac:dyDescent="0.3"/>
    <row r="969" ht="79.95" customHeight="1" x14ac:dyDescent="0.3"/>
    <row r="970" ht="79.95" customHeight="1" x14ac:dyDescent="0.3"/>
    <row r="971" ht="79.95" customHeight="1" x14ac:dyDescent="0.3"/>
    <row r="972" ht="79.95" customHeight="1" x14ac:dyDescent="0.3"/>
    <row r="973" ht="79.95" customHeight="1" x14ac:dyDescent="0.3"/>
    <row r="974" ht="79.95" customHeight="1" x14ac:dyDescent="0.3"/>
    <row r="975" ht="79.95" customHeight="1" x14ac:dyDescent="0.3"/>
    <row r="976" ht="79.95" customHeight="1" x14ac:dyDescent="0.3"/>
    <row r="977" ht="79.95" customHeight="1" x14ac:dyDescent="0.3"/>
    <row r="978" ht="79.95" customHeight="1" x14ac:dyDescent="0.3"/>
    <row r="979" ht="79.95" customHeight="1" x14ac:dyDescent="0.3"/>
    <row r="980" ht="79.95" customHeight="1" x14ac:dyDescent="0.3"/>
    <row r="981" ht="79.95" customHeight="1" x14ac:dyDescent="0.3"/>
    <row r="982" ht="79.95" customHeight="1" x14ac:dyDescent="0.3"/>
    <row r="983" ht="79.95" customHeight="1" x14ac:dyDescent="0.3"/>
    <row r="984" ht="79.95" customHeight="1" x14ac:dyDescent="0.3"/>
    <row r="985" ht="79.95" customHeight="1" x14ac:dyDescent="0.3"/>
    <row r="986" ht="79.95" customHeight="1" x14ac:dyDescent="0.3"/>
    <row r="987" ht="79.95" customHeight="1" x14ac:dyDescent="0.3"/>
    <row r="988" ht="79.95" customHeight="1" x14ac:dyDescent="0.3"/>
    <row r="989" ht="79.95" customHeight="1" x14ac:dyDescent="0.3"/>
    <row r="990" ht="79.95" customHeight="1" x14ac:dyDescent="0.3"/>
    <row r="991" ht="79.95" customHeight="1" x14ac:dyDescent="0.3"/>
    <row r="992" ht="79.95" customHeight="1" x14ac:dyDescent="0.3"/>
    <row r="993" ht="79.95" customHeight="1" x14ac:dyDescent="0.3"/>
    <row r="994" ht="79.95" customHeight="1" x14ac:dyDescent="0.3"/>
    <row r="995" ht="79.95" customHeight="1" x14ac:dyDescent="0.3"/>
    <row r="996" ht="79.95" customHeight="1" x14ac:dyDescent="0.3"/>
    <row r="997" ht="79.95" customHeight="1" x14ac:dyDescent="0.3"/>
    <row r="998" ht="79.95" customHeight="1" x14ac:dyDescent="0.3"/>
    <row r="999" ht="79.95" customHeight="1" x14ac:dyDescent="0.3"/>
    <row r="1000" ht="79.95" customHeight="1" x14ac:dyDescent="0.3"/>
    <row r="1001" ht="79.95" customHeight="1" x14ac:dyDescent="0.3"/>
  </sheetData>
  <phoneticPr fontId="2" type="noConversion"/>
  <conditionalFormatting sqref="M1:M1048576">
    <cfRule type="colorScale" priority="2">
      <colorScale>
        <cfvo type="min"/>
        <cfvo type="percentile" val="50"/>
        <cfvo type="max"/>
        <color theme="5" tint="0.79998168889431442"/>
        <color theme="7" tint="0.79998168889431442"/>
        <color theme="9" tint="0.79998168889431442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theme="5" tint="0.79998168889431442"/>
      </colorScale>
    </cfRule>
  </conditionalFormatting>
  <pageMargins left="0.7" right="0.7" top="0.78740157499999996" bottom="0.78740157499999996" header="0.3" footer="0.3"/>
  <pageSetup paperSize="9" scale="56" fitToHeight="0" orientation="landscape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Wehrle, Boris</dc:creator>
  <cp:keywords/>
  <dc:description/>
  <cp:lastModifiedBy>Wehrle, Boris</cp:lastModifiedBy>
  <cp:revision/>
  <cp:lastPrinted>2024-08-22T14:33:32Z</cp:lastPrinted>
  <dcterms:created xsi:type="dcterms:W3CDTF">2024-08-16T12:38:23Z</dcterms:created>
  <dcterms:modified xsi:type="dcterms:W3CDTF">2024-12-16T14:05:59Z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2024-12-11T07:45:42Z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0f089679-67f6-49d7-843a-e70dbbd6233e</vt:lpwstr>
  </property>
  <property fmtid="{D5CDD505-2E9C-101B-9397-08002B2CF9AE}" pid="15" name="MSIP_Label_48279657-75ab-40d6-b3ab-c93925b22f83_ContentBits">
    <vt:lpwstr>1</vt:lpwstr>
  </property>
</Properties>
</file>