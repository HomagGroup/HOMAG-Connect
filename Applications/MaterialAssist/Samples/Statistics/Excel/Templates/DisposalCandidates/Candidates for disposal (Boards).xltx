
<file path=[Content_Types].xml><?xml version="1.0" encoding="utf-8"?>
<Types xmlns="http://schemas.openxmlformats.org/package/2006/content-types">
  <Default Extension="0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A1052535-7A98-4F03-BAA5-2E51BE3637EF}" xr6:coauthVersionLast="47" xr6:coauthVersionMax="47" xr10:uidLastSave="{00000000-0000-0000-0000-000000000000}"/>
  <bookViews>
    <workbookView xWindow="28680" yWindow="-120" windowWidth="38640" windowHeight="21240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Platten!$A$1:$Q$32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20" i="2"/>
  <c r="B21" i="2"/>
  <c r="B22" i="2"/>
  <c r="B23" i="2"/>
  <c r="B2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5" i="2"/>
  <c r="B26" i="2"/>
  <c r="B27" i="2"/>
  <c r="B28" i="2"/>
  <c r="B29" i="2"/>
  <c r="B30" i="2"/>
  <c r="B31" i="2"/>
  <c r="B32" i="2"/>
  <c r="K2" i="2"/>
  <c r="K3" i="2"/>
  <c r="K4" i="2"/>
  <c r="K20" i="2"/>
  <c r="K21" i="2"/>
  <c r="K22" i="2"/>
  <c r="K23" i="2"/>
  <c r="K2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5" i="2"/>
  <c r="K26" i="2"/>
  <c r="K27" i="2"/>
  <c r="K28" i="2"/>
  <c r="K29" i="2"/>
  <c r="K30" i="2"/>
  <c r="K31" i="2"/>
  <c r="K32" i="2"/>
  <c r="N2" i="2"/>
  <c r="N3" i="2"/>
  <c r="N4" i="2"/>
  <c r="N20" i="2"/>
  <c r="N21" i="2"/>
  <c r="N22" i="2"/>
  <c r="N23" i="2"/>
  <c r="N2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5" i="2"/>
  <c r="N26" i="2"/>
  <c r="N27" i="2"/>
  <c r="N28" i="2"/>
  <c r="N29" i="2"/>
  <c r="N30" i="2"/>
  <c r="N31" i="2"/>
  <c r="N32" i="2"/>
  <c r="R2" i="2"/>
  <c r="R3" i="2"/>
  <c r="R4" i="2"/>
  <c r="R20" i="2"/>
  <c r="R21" i="2"/>
  <c r="R22" i="2"/>
  <c r="R23" i="2"/>
  <c r="R2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5" i="2"/>
  <c r="R26" i="2"/>
  <c r="R27" i="2"/>
  <c r="R28" i="2"/>
  <c r="R29" i="2"/>
  <c r="R30" i="2"/>
  <c r="R31" i="2"/>
  <c r="R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BoardEntities" description="Verbindung mit der Abfrage 'BoardEntities' in der Arbeitsmappe." type="5" refreshedVersion="8" background="1" saveData="1">
    <dbPr connection="Provider=Microsoft.Mashup.OleDb.1;Data Source=$Workbook$;Location=BoardEntities;Extended Properties=&quot;&quot;" command="SELECT * FROM [BoardEntitie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<sst xmlns="http://schemas.openxmlformats.org/spreadsheetml/2006/main" count="4" uniqueCount="4">
  <si>
    <t>QRCode------</t>
  </si>
  <si>
    <t>Preview</t>
  </si>
  <si>
    <t>Age (Month)</t>
  </si>
  <si>
    <t>Value /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</si>
</sst>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</cellXfs>
  <cellStyles count="2">
    <cellStyle name="Currency" xfId="1" builtinId="4"/>
    <cellStyle name="Normal" xfId="0" builtinId="0"/>
  </cellStyles>
  <dxfs count="20">
    <dxf>
      <numFmt numFmtId="165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5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adjustColumnWidth="0" connectionId="1" xr16:uid="{381FDDE4-FCE9-4D70-8BEF-8A46F813D432}" autoFormatId="16" applyNumberFormats="0" applyBorderFormats="0" applyFontFormats="0" applyPatternFormats="0" applyAlignmentFormats="0" applyWidthHeightFormats="0">
  <queryTableRefresh nextId="62" unboundColumnsRight="1">
    <queryTableFields count="18">
      <queryTableField id="33" name="Thumbnail" tableColumnId="2"/>
      <queryTableField id="20" dataBound="0" tableColumnId="15"/>
      <queryTableField id="1" name="Id" tableColumnId="1"/>
      <queryTableField id="34" name="Material code" tableColumnId="3"/>
      <queryTableField id="35" name="Board code" tableColumnId="4"/>
      <queryTableField id="36" name="Length" tableColumnId="5"/>
      <queryTableField id="37" name="Width" tableColumnId="6"/>
      <queryTableField id="38" name="Quantity" tableColumnId="7"/>
      <queryTableField id="39" name="Management type" tableColumnId="8"/>
      <queryTableField id="40" name="Creation date" tableColumnId="9"/>
      <queryTableField id="22" dataBound="0" tableColumnId="17"/>
      <queryTableField id="41" name="Material last used" tableColumnId="10"/>
      <queryTableField id="42" name="Costs / m²" tableColumnId="11"/>
      <queryTableField id="26" dataBound="0" tableColumnId="18"/>
      <queryTableField id="43" name="Notes" tableColumnId="12"/>
      <queryTableField id="44" name="Storage location" tableColumnId="14"/>
      <queryTableField id="13" name="QR-Code" tableColumnId="13"/>
      <queryTableField id="21" dataBound="0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21" Type="http://schemas.openxmlformats.org/officeDocument/2006/relationships/hyperlink" Target="https://api.qrserver.com/v1/create-qr-code/?data=SWP_Kernbuche_19_4200_1250%2372" TargetMode="External"/><Relationship Id="rId42" Type="http://schemas.openxmlformats.org/officeDocument/2006/relationships/image" Target="../media/image21.0"/><Relationship Id="rId47" Type="http://schemas.openxmlformats.org/officeDocument/2006/relationships/hyperlink" Target="https://api.qrserver.com/v1/create-qr-code/?data=P2_Weiss_19_2800_2070%2363" TargetMode="External"/><Relationship Id="rId63" Type="http://schemas.openxmlformats.org/officeDocument/2006/relationships/hyperlink" Target="https://api.qrserver.com/v1/create-qr-code/?data=HPL_Lava_Grey_4.0_2790.0_2060.0%2390" TargetMode="External"/><Relationship Id="rId68" Type="http://schemas.openxmlformats.org/officeDocument/2006/relationships/image" Target="../media/image34.0"/><Relationship Id="rId7" Type="http://schemas.openxmlformats.org/officeDocument/2006/relationships/hyperlink" Target="https://intellisettingscdn.homag.cloud/820a547d-b2b0-4e0e-9b0f-2533e8310b3e/materials/b880c7eb-b065-4493-8631-af65531fb75b/Picture/ThumbnailSquare.png?sv=2024-08-04&amp;se=2024-12-19T00%3A00%3A00Z&amp;sr=c&amp;sp=r&amp;sig=4LpTmnJ6CDTuW0Jw65d07hMegkZXiRM5U8uXH0kTe6Y%3D" TargetMode="External"/><Relationship Id="rId71" Type="http://schemas.openxmlformats.org/officeDocument/2006/relationships/hyperlink" Target="https://api.qrserver.com/v1/create-qr-code/?data=HPL_Lava_Grey_4.0_2790.0_2060.0%2394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pi.qrserver.com/v1/create-qr-code/?data=SWP_Kernbuche_19_4200_1250%2376" TargetMode="External"/><Relationship Id="rId11" Type="http://schemas.openxmlformats.org/officeDocument/2006/relationships/hyperlink" Target="https://api.qrserver.com/v1/create-qr-code/?data=SWP_Kernbuche_19_4200_1250%2367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api.qrserver.com/v1/create-qr-code/?data=HPL_China_Red_9.6_2800.0_1310.0%2381" TargetMode="External"/><Relationship Id="rId40" Type="http://schemas.openxmlformats.org/officeDocument/2006/relationships/image" Target="../media/image20.0"/><Relationship Id="rId45" Type="http://schemas.openxmlformats.org/officeDocument/2006/relationships/hyperlink" Target="https://api.qrserver.com/v1/create-qr-code/?data=P2_Weiss_19_2800_2070%2362" TargetMode="External"/><Relationship Id="rId53" Type="http://schemas.openxmlformats.org/officeDocument/2006/relationships/hyperlink" Target="https://intellisettingscdn.homag.cloud/820a547d-b2b0-4e0e-9b0f-2533e8310b3e/materials/69dcd993-9247-4ac7-94b8-d05c67faed52/Picture/ThumbnailSquare.png?sv=2024-08-04&amp;se=2024-12-19T00%3A00%3A00Z&amp;sr=c&amp;sp=r&amp;sig=4LpTmnJ6CDTuW0Jw65d07hMegkZXiRM5U8uXH0kTe6Y%3D" TargetMode="External"/><Relationship Id="rId58" Type="http://schemas.openxmlformats.org/officeDocument/2006/relationships/image" Target="../media/image29.png"/><Relationship Id="rId66" Type="http://schemas.openxmlformats.org/officeDocument/2006/relationships/image" Target="../media/image33.0"/><Relationship Id="rId5" Type="http://schemas.openxmlformats.org/officeDocument/2006/relationships/hyperlink" Target="https://api.qrserver.com/v1/create-qr-code/?data=4%2358" TargetMode="External"/><Relationship Id="rId61" Type="http://schemas.openxmlformats.org/officeDocument/2006/relationships/hyperlink" Target="https://api.qrserver.com/v1/create-qr-code/?data=HPL_Lava_Grey_4.0_2790.0_2060.0%2389" TargetMode="External"/><Relationship Id="rId19" Type="http://schemas.openxmlformats.org/officeDocument/2006/relationships/hyperlink" Target="https://api.qrserver.com/v1/create-qr-code/?data=SWP_Kernbuche_19_4200_1250%2371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pi.qrserver.com/v1/create-qr-code/?data=SWP_Kernbuche_19_4200_1250%2375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api.qrserver.com/v1/create-qr-code/?data=HPL_China_Red_9.6_2800.0_1310.0%2380" TargetMode="External"/><Relationship Id="rId43" Type="http://schemas.openxmlformats.org/officeDocument/2006/relationships/hyperlink" Target="https://api.qrserver.com/v1/create-qr-code/?data=P2_Weiss_19_2800_2070%2361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0"/><Relationship Id="rId64" Type="http://schemas.openxmlformats.org/officeDocument/2006/relationships/image" Target="../media/image32.0"/><Relationship Id="rId69" Type="http://schemas.openxmlformats.org/officeDocument/2006/relationships/hyperlink" Target="https://api.qrserver.com/v1/create-qr-code/?data=HPL_Lava_Grey_4.0_2790.0_2060.0%2393" TargetMode="External"/><Relationship Id="rId8" Type="http://schemas.openxmlformats.org/officeDocument/2006/relationships/image" Target="../media/image4.png"/><Relationship Id="rId51" Type="http://schemas.openxmlformats.org/officeDocument/2006/relationships/hyperlink" Target="https://api.qrserver.com/v1/create-qr-code/?data=P2_Weiss_19_2800_2070%2365" TargetMode="External"/><Relationship Id="rId72" Type="http://schemas.openxmlformats.org/officeDocument/2006/relationships/image" Target="../media/image36.0"/><Relationship Id="rId3" Type="http://schemas.openxmlformats.org/officeDocument/2006/relationships/hyperlink" Target="https://api.qrserver.com/v1/create-qr-code/?data=4%2357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SWP_Kernbuche_19_4200_1250%2370" TargetMode="External"/><Relationship Id="rId25" Type="http://schemas.openxmlformats.org/officeDocument/2006/relationships/hyperlink" Target="https://api.qrserver.com/v1/create-qr-code/?data=SWP_Kernbuche_19_4200_1250%2374" TargetMode="External"/><Relationship Id="rId33" Type="http://schemas.openxmlformats.org/officeDocument/2006/relationships/hyperlink" Target="https://api.qrserver.com/v1/create-qr-code/?data=HPL_China_Red_9.6_2800.0_1310.0%2379" TargetMode="External"/><Relationship Id="rId38" Type="http://schemas.openxmlformats.org/officeDocument/2006/relationships/image" Target="../media/image19.0"/><Relationship Id="rId46" Type="http://schemas.openxmlformats.org/officeDocument/2006/relationships/image" Target="../media/image23.png"/><Relationship Id="rId59" Type="http://schemas.openxmlformats.org/officeDocument/2006/relationships/hyperlink" Target="https://api.qrserver.com/v1/create-qr-code/?data=HPL_Lava_Grey_4.0_2790.0_2060.0%2388" TargetMode="External"/><Relationship Id="rId67" Type="http://schemas.openxmlformats.org/officeDocument/2006/relationships/hyperlink" Target="https://api.qrserver.com/v1/create-qr-code/?data=HPL_Lava_Grey_4.0_2790.0_2060.0%2392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api.qrserver.com/v1/create-qr-code/?data=XHPL_China_Red_9.6_780.4_1310.0%2383" TargetMode="External"/><Relationship Id="rId54" Type="http://schemas.openxmlformats.org/officeDocument/2006/relationships/image" Target="../media/image27.png"/><Relationship Id="rId62" Type="http://schemas.openxmlformats.org/officeDocument/2006/relationships/image" Target="../media/image31.0"/><Relationship Id="rId70" Type="http://schemas.openxmlformats.org/officeDocument/2006/relationships/image" Target="../media/image35.0"/><Relationship Id="rId1" Type="http://schemas.openxmlformats.org/officeDocument/2006/relationships/hyperlink" Target="https://intellisettingscdn.homag.cloud/820a547d-b2b0-4e0e-9b0f-2533e8310b3e/materials/d1284bf9-7094-4066-af63-908132e48c76/Picture/ThumbnailSquare.png?sv=2024-08-04&amp;se=2024-12-19T00%3A00%3A00Z&amp;sr=c&amp;sp=r&amp;sig=4LpTmnJ6CDTuW0Jw65d07hMegkZXiRM5U8uXH0kTe6Y%3D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api.qrserver.com/v1/create-qr-code/?data=SWP_Kernbuche_19_4200_1250%2369" TargetMode="External"/><Relationship Id="rId23" Type="http://schemas.openxmlformats.org/officeDocument/2006/relationships/hyperlink" Target="https://api.qrserver.com/v1/create-qr-code/?data=SWP_Kernbuche_19_4200_1250%2373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0"/><Relationship Id="rId49" Type="http://schemas.openxmlformats.org/officeDocument/2006/relationships/hyperlink" Target="https://api.qrserver.com/v1/create-qr-code/?data=P2_Weiss_19_2800_2070%2364" TargetMode="External"/><Relationship Id="rId57" Type="http://schemas.openxmlformats.org/officeDocument/2006/relationships/hyperlink" Target="https://intellisettingscdn.homag.cloud/820a547d-b2b0-4e0e-9b0f-2533e8310b3e/materials/33c1060f-1fb8-492d-ace8-1ff0d78f91c7/Picture/ThumbnailSquare.png?sv=2024-08-04&amp;se=2024-12-19T00%3A00%3A00Z&amp;sr=c&amp;sp=r&amp;sig=4LpTmnJ6CDTuW0Jw65d07hMegkZXiRM5U8uXH0kTe6Y%3D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intellisettingscdn.homag.cloud/820a547d-b2b0-4e0e-9b0f-2533e8310b3e/materials/fc974395-0eae-4505-82d1-0a58aa9858a2/Picture/ThumbnailSquare.png?sv=2024-08-04&amp;se=2024-12-19T00%3A00%3A00Z&amp;sr=c&amp;sp=r&amp;sig=4LpTmnJ6CDTuW0Jw65d07hMegkZXiRM5U8uXH0kTe6Y%3D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0"/><Relationship Id="rId65" Type="http://schemas.openxmlformats.org/officeDocument/2006/relationships/hyperlink" Target="https://api.qrserver.com/v1/create-qr-code/?data=HPL_Lava_Grey_4.0_2790.0_2060.0%2391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Backspac%2359" TargetMode="External"/><Relationship Id="rId13" Type="http://schemas.openxmlformats.org/officeDocument/2006/relationships/hyperlink" Target="https://api.qrserver.com/v1/create-qr-code/?data=SWP_Kernbuche_19_4200_1250%2368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api.qrserver.com/v1/create-qr-code/?data=XHPL_China_Red_9.6_680.4_1310.0%2382" TargetMode="External"/><Relationship Id="rId34" Type="http://schemas.openxmlformats.org/officeDocument/2006/relationships/image" Target="../media/image17.0"/><Relationship Id="rId50" Type="http://schemas.openxmlformats.org/officeDocument/2006/relationships/image" Target="../media/image25.png"/><Relationship Id="rId55" Type="http://schemas.openxmlformats.org/officeDocument/2006/relationships/hyperlink" Target="https://api.qrserver.com/v1/create-qr-code/?data=HPL_Kiwi_Green_0.8_2800.0_1310.0%238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</webImagesSrd>
</file>

<file path=xl/richData/rdrichvalue.xml><?xml version="1.0" encoding="utf-8"?>
<rvData xmlns="http://schemas.microsoft.com/office/spreadsheetml/2017/richdata" count="36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  <rv s="0">
    <v>32</v>
    <v>1</v>
    <v>0</v>
    <v>100</v>
    <v>3</v>
    <v>100</v>
  </rv>
  <rv s="0">
    <v>33</v>
    <v>1</v>
    <v>0</v>
    <v>100</v>
    <v>3</v>
    <v>100</v>
  </rv>
  <rv s="0">
    <v>34</v>
    <v>1</v>
    <v>0</v>
    <v>100</v>
    <v>3</v>
    <v>100</v>
  </rv>
  <rv s="0">
    <v>35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BoardEntities" displayName="BoardEntities" ref="A1:R32" tableType="queryTable" totalsRowShown="0" headerRowDxfId="19" dataDxfId="18">
  <autoFilter ref="A1:R32" xr:uid="{B729DAA9-8EAF-4115-8775-23F1E0908650}"/>
  <sortState xmlns:xlrd2="http://schemas.microsoft.com/office/spreadsheetml/2017/richdata2" ref="A2:R32">
    <sortCondition descending="1" ref="K2:K32"/>
    <sortCondition ref="L2:L32"/>
  </sortState>
  <tableColumns count="18">
    <tableColumn id="2" xr3:uid="{971C39D4-E671-40E0-B9E6-3CE0C5CBBA20}" uniqueName="2" name="Thumbnail" queryTableFieldId="33" dataDxfId="17"/>
    <tableColumn id="15" xr3:uid="{44E5FB25-B070-42D3-BB70-844989B7FD71}" uniqueName="15" name="Preview" queryTableFieldId="20" dataDxfId="16">
      <calculatedColumnFormula>IF(BoardEntities[[#This Row],[Thumbnail]]&lt;&gt;"",_xlfn.IMAGE(BoardEntities[[#This Row],[Thumbnail]],"",3,100,100),"")</calculatedColumnFormula>
    </tableColumn>
    <tableColumn id="1" xr3:uid="{DFE17ADA-1352-450C-A333-EC8243BAF047}" uniqueName="1" name="Id" queryTableFieldId="1" dataDxfId="15"/>
    <tableColumn id="3" xr3:uid="{A987E793-5F71-4556-BDC3-0F4A87C3E8F8}" uniqueName="3" name="Material code" queryTableFieldId="34" dataDxfId="14"/>
    <tableColumn id="4" xr3:uid="{36BF42DD-EF07-4502-A62D-65F10FD36768}" uniqueName="4" name="Board code" queryTableFieldId="35" dataDxfId="13"/>
    <tableColumn id="5" xr3:uid="{88989E39-2D0D-439E-8FC9-F61EB93C2564}" uniqueName="5" name="Length" queryTableFieldId="36" dataDxfId="12"/>
    <tableColumn id="6" xr3:uid="{270C173B-9543-4613-BC71-0B615D4BA1C9}" uniqueName="6" name="Width" queryTableFieldId="37" dataDxfId="11"/>
    <tableColumn id="7" xr3:uid="{C844DFB8-0EFC-44BF-B159-EC21EB7654D2}" uniqueName="7" name="Quantity" queryTableFieldId="38" dataDxfId="10"/>
    <tableColumn id="8" xr3:uid="{83558284-806F-418F-9488-987C4CB6D8E0}" uniqueName="8" name="Management type" queryTableFieldId="39" dataDxfId="9"/>
    <tableColumn id="9" xr3:uid="{C4E867B3-03E1-4DF0-AE0F-AE0826BCE1C6}" uniqueName="9" name="Creation date" queryTableFieldId="40" dataDxfId="8"/>
    <tableColumn id="17" xr3:uid="{FE895E4C-8ABA-4BC6-A905-483B06734022}" uniqueName="17" name="Age (Month)" queryTableFieldId="22" dataDxfId="7">
      <calculatedColumnFormula>DATEDIF(BoardEntities[[#This Row],[Creation date]],TODAY(),"M")</calculatedColumnFormula>
    </tableColumn>
    <tableColumn id="10" xr3:uid="{8A4D11C4-EE34-4607-925B-F04632BD0E03}" uniqueName="10" name="Material last used" queryTableFieldId="41" dataDxfId="6"/>
    <tableColumn id="11" xr3:uid="{C939CC90-C4D2-48F5-A937-013E00B4AE3A}" uniqueName="11" name="Costs / m²" queryTableFieldId="42" dataDxfId="0"/>
    <tableColumn id="18" xr3:uid="{3A8DAA38-16E7-4049-B517-A3590A037B2C}" uniqueName="18" name="Value / Board" queryTableFieldId="26" dataDxfId="5">
      <calculatedColumnFormula>BoardEntities[[#This Row],[Length]]*BoardEntities[[#This Row],[Width]]*BoardEntities[[#This Row],[Costs / m²]]/1000/1000</calculatedColumnFormula>
    </tableColumn>
    <tableColumn id="12" xr3:uid="{D345DA86-4EED-4B61-9448-3A31357514A0}" uniqueName="12" name="Notes" queryTableFieldId="43" dataDxfId="4"/>
    <tableColumn id="14" xr3:uid="{731A7707-CD30-4522-AA8F-B08D3D614ADE}" uniqueName="14" name="Storage location" queryTableFieldId="44" dataDxfId="3"/>
    <tableColumn id="13" xr3:uid="{3D66A0A8-61F0-42CA-B54A-301DEA40E397}" uniqueName="13" name="QR-Code" queryTableFieldId="13" dataDxfId="2"/>
    <tableColumn id="16" xr3:uid="{1359B537-2C09-40C3-B05C-762E9DBD1C28}" uniqueName="16" name="QRCode------" queryTableFieldId="21" dataDxfId="1">
      <calculatedColumnFormula>IF(BoardEntities[[#This Row],[QR-Code]]&lt;&gt;"",_xlfn.IMAGE(BoardEntities[[#This Row],[QR-Code]],"",3,100,100),"")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sheetPr>
    <pageSetUpPr fitToPage="1"/>
  </sheetPr>
  <dimension ref="A1:AF1001"/>
  <sheetViews>
    <sheetView tabSelected="1" topLeftCell="B1" zoomScale="85" zoomScaleNormal="85" workbookViewId="0">
      <pane ySplit="1" topLeftCell="A2" activePane="bottomLeft" state="frozen"/>
      <selection pane="bottomLeft" activeCell="K2" sqref="K2"/>
    </sheetView>
  </sheetViews>
  <sheetFormatPr defaultColWidth="11.33203125" defaultRowHeight="91.8" x14ac:dyDescent="0.3"/>
  <cols>
    <col min="1" max="1" width="80.88671875" style="1" hidden="1" customWidth="1"/>
    <col min="2" max="2" width="16" style="5" customWidth="1"/>
    <col min="3" max="3" width="5.109375" style="1" bestFit="1" customWidth="1"/>
    <col min="4" max="4" width="27.33203125" bestFit="1" customWidth="1"/>
    <col min="5" max="5" width="32.33203125" style="1" bestFit="1" customWidth="1"/>
    <col min="6" max="6" width="9.109375" style="1" bestFit="1" customWidth="1"/>
    <col min="7" max="7" width="8.5546875" style="1" bestFit="1" customWidth="1"/>
    <col min="8" max="8" width="10.6640625" style="1" bestFit="1" customWidth="1"/>
    <col min="9" max="9" width="18.88671875" style="1" bestFit="1" customWidth="1"/>
    <col min="10" max="10" width="15.6640625" style="1" bestFit="1" customWidth="1"/>
    <col min="11" max="11" width="16.5546875" style="1" bestFit="1" customWidth="1"/>
    <col min="12" max="12" width="18.44140625" style="1" bestFit="1" customWidth="1"/>
    <col min="13" max="13" width="12.109375" style="1" bestFit="1" customWidth="1"/>
    <col min="14" max="14" width="14.88671875" style="1" bestFit="1" customWidth="1"/>
    <col min="15" max="15" width="8.44140625" style="1" bestFit="1" customWidth="1"/>
    <col min="16" max="16" width="26.88671875" style="1" bestFit="1" customWidth="1"/>
    <col min="17" max="17" width="80.88671875" style="1" hidden="1" customWidth="1"/>
    <col min="18" max="18" width="45.21875" style="1" bestFit="1" customWidth="1"/>
    <col min="19" max="24" width="11.33203125" style="1"/>
    <col min="25" max="25" width="11.33203125" style="4"/>
    <col min="26" max="27" width="11.33203125" style="1"/>
    <col min="28" max="28" width="11.33203125" style="5"/>
    <col min="29" max="29" width="11.33203125" style="9"/>
    <col min="30" max="31" width="11.33203125" style="1"/>
    <col min="32" max="32" width="11.33203125" style="6"/>
    <col min="33" max="16384" width="11.33203125" style="1"/>
  </cols>
  <sheetData>
    <row r="1" spans="1:32" ht="14.4" x14ac:dyDescent="0.3">
      <c r="A1" s="1"/>
      <c r="B1" s="5" t="s">
        <v>1</v>
      </c>
      <c r="C1" s="1"/>
      <c r="D1" s="1"/>
      <c r="E1" s="1"/>
      <c r="F1" s="1"/>
      <c r="G1" s="1"/>
      <c r="H1" s="1"/>
      <c r="I1" s="1"/>
      <c r="J1" s="1"/>
      <c r="K1" s="7" t="s">
        <v>2</v>
      </c>
      <c r="L1" s="1"/>
      <c r="M1" s="1"/>
      <c r="N1" s="1" t="s">
        <v>3</v>
      </c>
      <c r="O1" s="1"/>
      <c r="P1" s="1"/>
      <c r="Q1" s="1"/>
      <c r="R1" s="4" t="s">
        <v>0</v>
      </c>
      <c r="Y1" s="1"/>
      <c r="AB1" s="1"/>
      <c r="AC1" s="1"/>
      <c r="AF1" s="1"/>
    </row>
    <row r="2" spans="1:32" x14ac:dyDescent="0.3">
      <c r="A2" s="1"/>
      <c r="B2" s="5" t="e" vm="1">
        <f>IF(BoardEntities[[#This Row],[Thumbnail]]&lt;&gt;"",_xlfn.IMAGE(BoardEntities[[#This Row],[Thumbnail]],"",3,100,100),"")</f>
        <v>#VALUE!</v>
      </c>
      <c r="C2" s="1"/>
      <c r="D2" s="1"/>
      <c r="E2" s="1"/>
      <c r="F2" s="1"/>
      <c r="G2" s="1"/>
      <c r="H2" s="1"/>
      <c r="I2" s="1"/>
      <c r="J2" s="8"/>
      <c r="K2" s="7">
        <f ca="1">DATEDIF(BoardEntities[[#This Row],[Creation date]],TODAY(),"M")</f>
        <v>1</v>
      </c>
      <c r="L2" s="2"/>
      <c r="M2" s="3"/>
      <c r="N2" s="3">
        <f>BoardEntities[[#This Row],[Length]]*BoardEntities[[#This Row],[Width]]*BoardEntities[[#This Row],[Costs / m²]]/1000/1000</f>
        <v>200</v>
      </c>
      <c r="O2" s="1"/>
      <c r="P2" s="1"/>
      <c r="Q2" s="1"/>
      <c r="R2" s="6" t="e" vm="2">
        <f>IF(BoardEntities[[#This Row],[QR-Code]]&lt;&gt;"",_xlfn.IMAGE(BoardEntities[[#This Row],[QR-Code]],"",3,100,100),"")</f>
        <v>#VALUE!</v>
      </c>
      <c r="Y2" s="1"/>
      <c r="AB2" s="1"/>
      <c r="AC2" s="1"/>
      <c r="AF2" s="1"/>
    </row>
    <row r="3" spans="1:32" x14ac:dyDescent="0.3">
      <c r="A3" s="1"/>
      <c r="B3" s="5" t="e" vm="1">
        <f>IF(BoardEntities[[#This Row],[Thumbnail]]&lt;&gt;"",_xlfn.IMAGE(BoardEntities[[#This Row],[Thumbnail]],"",3,100,100),"")</f>
        <v>#VALUE!</v>
      </c>
      <c r="C3" s="1"/>
      <c r="D3" s="1"/>
      <c r="E3" s="1"/>
      <c r="F3" s="1"/>
      <c r="G3" s="1"/>
      <c r="H3" s="1"/>
      <c r="I3" s="1"/>
      <c r="J3" s="8"/>
      <c r="K3" s="7">
        <f ca="1">DATEDIF(BoardEntities[[#This Row],[Creation date]],TODAY(),"M")</f>
        <v>1</v>
      </c>
      <c r="L3" s="2"/>
      <c r="M3" s="3"/>
      <c r="N3" s="3">
        <f>BoardEntities[[#This Row],[Length]]*BoardEntities[[#This Row],[Width]]*BoardEntities[[#This Row],[Costs / m²]]/1000/1000</f>
        <v>200</v>
      </c>
      <c r="O3" s="1"/>
      <c r="Q3" s="1"/>
      <c r="R3" s="6" t="e" vm="3">
        <f>IF(BoardEntities[[#This Row],[QR-Code]]&lt;&gt;"",_xlfn.IMAGE(BoardEntities[[#This Row],[QR-Code]],"",3,100,100),"")</f>
        <v>#VALUE!</v>
      </c>
      <c r="Y3" s="1"/>
      <c r="AB3" s="1"/>
      <c r="AC3" s="1"/>
      <c r="AF3" s="1"/>
    </row>
    <row r="4" spans="1:32" x14ac:dyDescent="0.3">
      <c r="A4" s="1"/>
      <c r="B4" s="5" t="e" vm="4">
        <f>IF(BoardEntities[[#This Row],[Thumbnail]]&lt;&gt;"",_xlfn.IMAGE(BoardEntities[[#This Row],[Thumbnail]],"",3,100,100),"")</f>
        <v>#VALUE!</v>
      </c>
      <c r="C4" s="1"/>
      <c r="D4" s="1"/>
      <c r="E4" s="1"/>
      <c r="F4" s="1"/>
      <c r="G4" s="1"/>
      <c r="H4" s="1"/>
      <c r="I4" s="1"/>
      <c r="J4" s="8"/>
      <c r="K4" s="7">
        <f ca="1">DATEDIF(BoardEntities[[#This Row],[Creation date]],TODAY(),"M")</f>
        <v>1</v>
      </c>
      <c r="L4" s="2"/>
      <c r="M4" s="3"/>
      <c r="N4" s="3">
        <f>BoardEntities[[#This Row],[Length]]*BoardEntities[[#This Row],[Width]]*BoardEntities[[#This Row],[Costs / m²]]/1000/1000</f>
        <v>200</v>
      </c>
      <c r="O4" s="1"/>
      <c r="Q4" s="1"/>
      <c r="R4" s="6" t="e" vm="5">
        <f>IF(BoardEntities[[#This Row],[QR-Code]]&lt;&gt;"",_xlfn.IMAGE(BoardEntities[[#This Row],[QR-Code]],"",3,100,100),"")</f>
        <v>#VALUE!</v>
      </c>
      <c r="Y4" s="1"/>
      <c r="AB4" s="1"/>
      <c r="AC4" s="1"/>
      <c r="AF4" s="1"/>
    </row>
    <row r="5" spans="1:32" x14ac:dyDescent="0.3">
      <c r="B5" s="5" t="str">
        <f>IF(BoardEntities[[#This Row],[Thumbnail]]&lt;&gt;"",_xlfn.IMAGE(BoardEntities[[#This Row],[Thumbnail]],"",3,100,100),"")</f>
        <v/>
      </c>
      <c r="C5" s="1"/>
      <c r="D5" s="1"/>
      <c r="E5" s="1"/>
      <c r="F5" s="1"/>
      <c r="G5" s="1"/>
      <c r="H5" s="1"/>
      <c r="I5" s="1"/>
      <c r="J5" s="8"/>
      <c r="K5" s="7">
        <f ca="1">DATEDIF(BoardEntities[[#This Row],[Creation date]],TODAY(),"M")</f>
        <v>0</v>
      </c>
      <c r="L5" s="2"/>
      <c r="M5" s="3"/>
      <c r="N5" s="3">
        <f>BoardEntities[[#This Row],[Length]]*BoardEntities[[#This Row],[Width]]*BoardEntities[[#This Row],[Costs / m²]]/1000/1000</f>
        <v>0</v>
      </c>
      <c r="O5" s="1"/>
      <c r="Q5" s="1"/>
      <c r="R5" s="6" t="e" vm="6">
        <f>IF(BoardEntities[[#This Row],[QR-Code]]&lt;&gt;"",_xlfn.IMAGE(BoardEntities[[#This Row],[QR-Code]],"",3,100,100),"")</f>
        <v>#VALUE!</v>
      </c>
      <c r="Y5" s="1"/>
      <c r="AB5" s="1"/>
      <c r="AC5" s="1"/>
      <c r="AF5" s="1"/>
    </row>
    <row r="6" spans="1:32" x14ac:dyDescent="0.3">
      <c r="B6" s="5" t="str">
        <f>IF(BoardEntities[[#This Row],[Thumbnail]]&lt;&gt;"",_xlfn.IMAGE(BoardEntities[[#This Row],[Thumbnail]],"",3,100,100),"")</f>
        <v/>
      </c>
      <c r="C6" s="1"/>
      <c r="D6" s="1"/>
      <c r="E6" s="1"/>
      <c r="F6" s="1"/>
      <c r="G6" s="1"/>
      <c r="H6" s="1"/>
      <c r="I6" s="1"/>
      <c r="J6" s="8"/>
      <c r="K6" s="7">
        <f ca="1">DATEDIF(BoardEntities[[#This Row],[Creation date]],TODAY(),"M")</f>
        <v>0</v>
      </c>
      <c r="L6" s="2"/>
      <c r="M6" s="3"/>
      <c r="N6" s="3">
        <f>BoardEntities[[#This Row],[Length]]*BoardEntities[[#This Row],[Width]]*BoardEntities[[#This Row],[Costs / m²]]/1000/1000</f>
        <v>0</v>
      </c>
      <c r="O6" s="1"/>
      <c r="Q6" s="1"/>
      <c r="R6" s="6" t="e" vm="7">
        <f>IF(BoardEntities[[#This Row],[QR-Code]]&lt;&gt;"",_xlfn.IMAGE(BoardEntities[[#This Row],[QR-Code]],"",3,100,100),"")</f>
        <v>#VALUE!</v>
      </c>
      <c r="Y6" s="1"/>
      <c r="AB6" s="1"/>
      <c r="AC6" s="1"/>
      <c r="AF6" s="1"/>
    </row>
    <row r="7" spans="1:32" x14ac:dyDescent="0.3">
      <c r="B7" s="5" t="str">
        <f>IF(BoardEntities[[#This Row],[Thumbnail]]&lt;&gt;"",_xlfn.IMAGE(BoardEntities[[#This Row],[Thumbnail]],"",3,100,100),"")</f>
        <v/>
      </c>
      <c r="C7" s="1"/>
      <c r="D7" s="1"/>
      <c r="E7" s="1"/>
      <c r="F7" s="1"/>
      <c r="G7" s="1"/>
      <c r="H7" s="1"/>
      <c r="I7" s="1"/>
      <c r="J7" s="8"/>
      <c r="K7" s="7">
        <f ca="1">DATEDIF(BoardEntities[[#This Row],[Creation date]],TODAY(),"M")</f>
        <v>0</v>
      </c>
      <c r="L7" s="2"/>
      <c r="M7" s="3"/>
      <c r="N7" s="3">
        <f>BoardEntities[[#This Row],[Length]]*BoardEntities[[#This Row],[Width]]*BoardEntities[[#This Row],[Costs / m²]]/1000/1000</f>
        <v>0</v>
      </c>
      <c r="O7" s="1"/>
      <c r="Q7" s="1"/>
      <c r="R7" s="6" t="e" vm="8">
        <f>IF(BoardEntities[[#This Row],[QR-Code]]&lt;&gt;"",_xlfn.IMAGE(BoardEntities[[#This Row],[QR-Code]],"",3,100,100),"")</f>
        <v>#VALUE!</v>
      </c>
      <c r="Y7" s="1"/>
      <c r="AB7" s="1"/>
      <c r="AC7" s="1"/>
      <c r="AF7" s="1"/>
    </row>
    <row r="8" spans="1:32" x14ac:dyDescent="0.3">
      <c r="B8" s="5" t="str">
        <f>IF(BoardEntities[[#This Row],[Thumbnail]]&lt;&gt;"",_xlfn.IMAGE(BoardEntities[[#This Row],[Thumbnail]],"",3,100,100),"")</f>
        <v/>
      </c>
      <c r="C8" s="1"/>
      <c r="D8" s="1"/>
      <c r="E8" s="1"/>
      <c r="F8" s="1"/>
      <c r="G8" s="1"/>
      <c r="H8" s="1"/>
      <c r="I8" s="1"/>
      <c r="J8" s="8"/>
      <c r="K8" s="7">
        <f ca="1">DATEDIF(BoardEntities[[#This Row],[Creation date]],TODAY(),"M")</f>
        <v>0</v>
      </c>
      <c r="L8" s="2"/>
      <c r="M8" s="3"/>
      <c r="N8" s="3">
        <f>BoardEntities[[#This Row],[Length]]*BoardEntities[[#This Row],[Width]]*BoardEntities[[#This Row],[Costs / m²]]/1000/1000</f>
        <v>0</v>
      </c>
      <c r="O8" s="1"/>
      <c r="Q8" s="1"/>
      <c r="R8" s="6" t="e" vm="9">
        <f>IF(BoardEntities[[#This Row],[QR-Code]]&lt;&gt;"",_xlfn.IMAGE(BoardEntities[[#This Row],[QR-Code]],"",3,100,100),"")</f>
        <v>#VALUE!</v>
      </c>
      <c r="Y8" s="1"/>
      <c r="AB8" s="1"/>
      <c r="AC8" s="1"/>
      <c r="AF8" s="1"/>
    </row>
    <row r="9" spans="1:32" x14ac:dyDescent="0.3">
      <c r="B9" s="5" t="str">
        <f>IF(BoardEntities[[#This Row],[Thumbnail]]&lt;&gt;"",_xlfn.IMAGE(BoardEntities[[#This Row],[Thumbnail]],"",3,100,100),"")</f>
        <v/>
      </c>
      <c r="C9" s="1"/>
      <c r="D9" s="1"/>
      <c r="E9" s="1"/>
      <c r="F9" s="1"/>
      <c r="G9" s="1"/>
      <c r="H9" s="1"/>
      <c r="I9" s="1"/>
      <c r="J9" s="8"/>
      <c r="K9" s="7">
        <f ca="1">DATEDIF(BoardEntities[[#This Row],[Creation date]],TODAY(),"M")</f>
        <v>0</v>
      </c>
      <c r="L9" s="2"/>
      <c r="M9" s="3"/>
      <c r="N9" s="3">
        <f>BoardEntities[[#This Row],[Length]]*BoardEntities[[#This Row],[Width]]*BoardEntities[[#This Row],[Costs / m²]]/1000/1000</f>
        <v>0</v>
      </c>
      <c r="O9" s="1"/>
      <c r="Q9" s="1"/>
      <c r="R9" s="6" t="e" vm="10">
        <f>IF(BoardEntities[[#This Row],[QR-Code]]&lt;&gt;"",_xlfn.IMAGE(BoardEntities[[#This Row],[QR-Code]],"",3,100,100),"")</f>
        <v>#VALUE!</v>
      </c>
      <c r="Y9" s="1"/>
      <c r="AB9" s="1"/>
      <c r="AC9" s="1"/>
      <c r="AF9" s="1"/>
    </row>
    <row r="10" spans="1:32" x14ac:dyDescent="0.3">
      <c r="B10" s="5" t="str">
        <f>IF(BoardEntities[[#This Row],[Thumbnail]]&lt;&gt;"",_xlfn.IMAGE(BoardEntities[[#This Row],[Thumbnail]],"",3,100,100),"")</f>
        <v/>
      </c>
      <c r="C10" s="1"/>
      <c r="D10" s="1"/>
      <c r="E10" s="1"/>
      <c r="F10" s="1"/>
      <c r="G10" s="1"/>
      <c r="H10" s="1"/>
      <c r="I10" s="1"/>
      <c r="J10" s="8"/>
      <c r="K10" s="7">
        <f ca="1">DATEDIF(BoardEntities[[#This Row],[Creation date]],TODAY(),"M")</f>
        <v>0</v>
      </c>
      <c r="L10" s="2"/>
      <c r="M10" s="3"/>
      <c r="N10" s="3">
        <f>BoardEntities[[#This Row],[Length]]*BoardEntities[[#This Row],[Width]]*BoardEntities[[#This Row],[Costs / m²]]/1000/1000</f>
        <v>0</v>
      </c>
      <c r="O10" s="1"/>
      <c r="Q10" s="1"/>
      <c r="R10" s="6" t="e" vm="11">
        <f>IF(BoardEntities[[#This Row],[QR-Code]]&lt;&gt;"",_xlfn.IMAGE(BoardEntities[[#This Row],[QR-Code]],"",3,100,100),"")</f>
        <v>#VALUE!</v>
      </c>
      <c r="Y10" s="1"/>
      <c r="AB10" s="1"/>
      <c r="AC10" s="1"/>
      <c r="AF10" s="1"/>
    </row>
    <row r="11" spans="1:32" x14ac:dyDescent="0.3">
      <c r="B11" s="5" t="str">
        <f>IF(BoardEntities[[#This Row],[Thumbnail]]&lt;&gt;"",_xlfn.IMAGE(BoardEntities[[#This Row],[Thumbnail]],"",3,100,100),"")</f>
        <v/>
      </c>
      <c r="C11" s="1"/>
      <c r="D11" s="1"/>
      <c r="E11" s="1"/>
      <c r="F11" s="1"/>
      <c r="G11" s="1"/>
      <c r="H11" s="1"/>
      <c r="I11" s="1"/>
      <c r="J11" s="8"/>
      <c r="K11" s="7">
        <f ca="1">DATEDIF(BoardEntities[[#This Row],[Creation date]],TODAY(),"M")</f>
        <v>0</v>
      </c>
      <c r="L11" s="2"/>
      <c r="M11" s="3"/>
      <c r="N11" s="3">
        <f>BoardEntities[[#This Row],[Length]]*BoardEntities[[#This Row],[Width]]*BoardEntities[[#This Row],[Costs / m²]]/1000/1000</f>
        <v>0</v>
      </c>
      <c r="O11" s="1"/>
      <c r="Q11" s="1"/>
      <c r="R11" s="6" t="e" vm="12">
        <f>IF(BoardEntities[[#This Row],[QR-Code]]&lt;&gt;"",_xlfn.IMAGE(BoardEntities[[#This Row],[QR-Code]],"",3,100,100),"")</f>
        <v>#VALUE!</v>
      </c>
      <c r="Y11" s="1"/>
      <c r="AB11" s="1"/>
      <c r="AC11" s="1"/>
      <c r="AF11" s="1"/>
    </row>
    <row r="12" spans="1:32" x14ac:dyDescent="0.3">
      <c r="B12" s="5" t="str">
        <f>IF(BoardEntities[[#This Row],[Thumbnail]]&lt;&gt;"",_xlfn.IMAGE(BoardEntities[[#This Row],[Thumbnail]],"",3,100,100),"")</f>
        <v/>
      </c>
      <c r="C12" s="1"/>
      <c r="D12" s="1"/>
      <c r="E12" s="1"/>
      <c r="F12" s="1"/>
      <c r="G12" s="1"/>
      <c r="H12" s="1"/>
      <c r="I12" s="1"/>
      <c r="J12" s="8"/>
      <c r="K12" s="7">
        <f ca="1">DATEDIF(BoardEntities[[#This Row],[Creation date]],TODAY(),"M")</f>
        <v>0</v>
      </c>
      <c r="L12" s="2"/>
      <c r="M12" s="3"/>
      <c r="N12" s="3">
        <f>BoardEntities[[#This Row],[Length]]*BoardEntities[[#This Row],[Width]]*BoardEntities[[#This Row],[Costs / m²]]/1000/1000</f>
        <v>0</v>
      </c>
      <c r="O12" s="1"/>
      <c r="Q12" s="1"/>
      <c r="R12" s="6" t="e" vm="13">
        <f>IF(BoardEntities[[#This Row],[QR-Code]]&lt;&gt;"",_xlfn.IMAGE(BoardEntities[[#This Row],[QR-Code]],"",3,100,100),"")</f>
        <v>#VALUE!</v>
      </c>
      <c r="Y12" s="1"/>
      <c r="AB12" s="1"/>
      <c r="AC12" s="1"/>
      <c r="AF12" s="1"/>
    </row>
    <row r="13" spans="1:32" x14ac:dyDescent="0.3">
      <c r="B13" s="5" t="str">
        <f>IF(BoardEntities[[#This Row],[Thumbnail]]&lt;&gt;"",_xlfn.IMAGE(BoardEntities[[#This Row],[Thumbnail]],"",3,100,100),"")</f>
        <v/>
      </c>
      <c r="C13" s="1"/>
      <c r="D13" s="1"/>
      <c r="E13" s="1"/>
      <c r="F13" s="1"/>
      <c r="G13" s="1"/>
      <c r="H13" s="1"/>
      <c r="I13" s="1"/>
      <c r="J13" s="8"/>
      <c r="K13" s="7">
        <f ca="1">DATEDIF(BoardEntities[[#This Row],[Creation date]],TODAY(),"M")</f>
        <v>0</v>
      </c>
      <c r="L13" s="2"/>
      <c r="M13" s="3"/>
      <c r="N13" s="3">
        <f>BoardEntities[[#This Row],[Length]]*BoardEntities[[#This Row],[Width]]*BoardEntities[[#This Row],[Costs / m²]]/1000/1000</f>
        <v>0</v>
      </c>
      <c r="O13" s="1"/>
      <c r="Q13" s="1"/>
      <c r="R13" s="6" t="e" vm="14">
        <f>IF(BoardEntities[[#This Row],[QR-Code]]&lt;&gt;"",_xlfn.IMAGE(BoardEntities[[#This Row],[QR-Code]],"",3,100,100),"")</f>
        <v>#VALUE!</v>
      </c>
      <c r="Y13" s="1"/>
      <c r="AB13" s="1"/>
      <c r="AC13" s="1"/>
      <c r="AF13" s="1"/>
    </row>
    <row r="14" spans="1:32" x14ac:dyDescent="0.3">
      <c r="B14" s="5" t="str">
        <f>IF(BoardEntities[[#This Row],[Thumbnail]]&lt;&gt;"",_xlfn.IMAGE(BoardEntities[[#This Row],[Thumbnail]],"",3,100,100),"")</f>
        <v/>
      </c>
      <c r="C14" s="1"/>
      <c r="D14" s="1"/>
      <c r="E14" s="1"/>
      <c r="F14" s="1"/>
      <c r="G14" s="1"/>
      <c r="H14" s="1"/>
      <c r="I14" s="1"/>
      <c r="J14" s="8"/>
      <c r="K14" s="7">
        <f ca="1">DATEDIF(BoardEntities[[#This Row],[Creation date]],TODAY(),"M")</f>
        <v>0</v>
      </c>
      <c r="L14" s="2"/>
      <c r="M14" s="3"/>
      <c r="N14" s="3">
        <f>BoardEntities[[#This Row],[Length]]*BoardEntities[[#This Row],[Width]]*BoardEntities[[#This Row],[Costs / m²]]/1000/1000</f>
        <v>0</v>
      </c>
      <c r="O14" s="1"/>
      <c r="Q14" s="1"/>
      <c r="R14" s="6" t="e" vm="15">
        <f>IF(BoardEntities[[#This Row],[QR-Code]]&lt;&gt;"",_xlfn.IMAGE(BoardEntities[[#This Row],[QR-Code]],"",3,100,100),"")</f>
        <v>#VALUE!</v>
      </c>
      <c r="Y14" s="1"/>
      <c r="AB14" s="1"/>
      <c r="AC14" s="1"/>
      <c r="AF14" s="1"/>
    </row>
    <row r="15" spans="1:32" x14ac:dyDescent="0.3">
      <c r="A15" s="1"/>
      <c r="B15" s="5" t="e" vm="16">
        <f>IF(BoardEntities[[#This Row],[Thumbnail]]&lt;&gt;"",_xlfn.IMAGE(BoardEntities[[#This Row],[Thumbnail]],"",3,100,100),"")</f>
        <v>#VALUE!</v>
      </c>
      <c r="C15" s="1"/>
      <c r="D15" s="1"/>
      <c r="E15" s="1"/>
      <c r="F15" s="1"/>
      <c r="G15" s="1"/>
      <c r="H15" s="1"/>
      <c r="I15" s="1"/>
      <c r="J15" s="8"/>
      <c r="K15" s="7">
        <f ca="1">DATEDIF(BoardEntities[[#This Row],[Creation date]],TODAY(),"M")</f>
        <v>0</v>
      </c>
      <c r="L15" s="2"/>
      <c r="M15" s="3"/>
      <c r="N15" s="3">
        <f>BoardEntities[[#This Row],[Length]]*BoardEntities[[#This Row],[Width]]*BoardEntities[[#This Row],[Costs / m²]]/1000/1000</f>
        <v>0</v>
      </c>
      <c r="O15" s="1"/>
      <c r="Q15" s="1"/>
      <c r="R15" s="6" t="e" vm="17">
        <f>IF(BoardEntities[[#This Row],[QR-Code]]&lt;&gt;"",_xlfn.IMAGE(BoardEntities[[#This Row],[QR-Code]],"",3,100,100),"")</f>
        <v>#VALUE!</v>
      </c>
      <c r="Y15" s="1"/>
      <c r="AB15" s="1"/>
      <c r="AC15" s="1"/>
      <c r="AF15" s="1"/>
    </row>
    <row r="16" spans="1:32" x14ac:dyDescent="0.3">
      <c r="A16" s="1"/>
      <c r="B16" s="5" t="e" vm="16">
        <f>IF(BoardEntities[[#This Row],[Thumbnail]]&lt;&gt;"",_xlfn.IMAGE(BoardEntities[[#This Row],[Thumbnail]],"",3,100,100),"")</f>
        <v>#VALUE!</v>
      </c>
      <c r="C16" s="1"/>
      <c r="D16" s="1"/>
      <c r="E16" s="1"/>
      <c r="F16" s="1"/>
      <c r="G16" s="1"/>
      <c r="H16" s="1"/>
      <c r="I16" s="1"/>
      <c r="J16" s="8"/>
      <c r="K16" s="7">
        <f ca="1">DATEDIF(BoardEntities[[#This Row],[Creation date]],TODAY(),"M")</f>
        <v>0</v>
      </c>
      <c r="L16" s="2"/>
      <c r="M16" s="3"/>
      <c r="N16" s="3">
        <f>BoardEntities[[#This Row],[Length]]*BoardEntities[[#This Row],[Width]]*BoardEntities[[#This Row],[Costs / m²]]/1000/1000</f>
        <v>0</v>
      </c>
      <c r="O16" s="1"/>
      <c r="Q16" s="1"/>
      <c r="R16" s="6" t="e" vm="18">
        <f>IF(BoardEntities[[#This Row],[QR-Code]]&lt;&gt;"",_xlfn.IMAGE(BoardEntities[[#This Row],[QR-Code]],"",3,100,100),"")</f>
        <v>#VALUE!</v>
      </c>
      <c r="Y16" s="1"/>
      <c r="AB16" s="1"/>
      <c r="AC16" s="1"/>
      <c r="AF16" s="1"/>
    </row>
    <row r="17" spans="1:32" x14ac:dyDescent="0.3">
      <c r="A17" s="1"/>
      <c r="B17" s="5" t="e" vm="16">
        <f>IF(BoardEntities[[#This Row],[Thumbnail]]&lt;&gt;"",_xlfn.IMAGE(BoardEntities[[#This Row],[Thumbnail]],"",3,100,100),"")</f>
        <v>#VALUE!</v>
      </c>
      <c r="C17" s="1"/>
      <c r="D17" s="1"/>
      <c r="E17" s="1"/>
      <c r="F17" s="1"/>
      <c r="G17" s="1"/>
      <c r="H17" s="1"/>
      <c r="I17" s="1"/>
      <c r="J17" s="8"/>
      <c r="K17" s="7">
        <f ca="1">DATEDIF(BoardEntities[[#This Row],[Creation date]],TODAY(),"M")</f>
        <v>0</v>
      </c>
      <c r="L17" s="2"/>
      <c r="M17" s="3"/>
      <c r="N17" s="3">
        <f>BoardEntities[[#This Row],[Length]]*BoardEntities[[#This Row],[Width]]*BoardEntities[[#This Row],[Costs / m²]]/1000/1000</f>
        <v>0</v>
      </c>
      <c r="O17" s="1"/>
      <c r="Q17" s="1"/>
      <c r="R17" s="6" t="e" vm="19">
        <f>IF(BoardEntities[[#This Row],[QR-Code]]&lt;&gt;"",_xlfn.IMAGE(BoardEntities[[#This Row],[QR-Code]],"",3,100,100),"")</f>
        <v>#VALUE!</v>
      </c>
      <c r="Y17" s="1"/>
      <c r="AB17" s="1"/>
      <c r="AC17" s="1"/>
      <c r="AF17" s="1"/>
    </row>
    <row r="18" spans="1:32" x14ac:dyDescent="0.3">
      <c r="A18" s="1"/>
      <c r="B18" s="5" t="e" vm="16">
        <f>IF(BoardEntities[[#This Row],[Thumbnail]]&lt;&gt;"",_xlfn.IMAGE(BoardEntities[[#This Row],[Thumbnail]],"",3,100,100),"")</f>
        <v>#VALUE!</v>
      </c>
      <c r="C18" s="1"/>
      <c r="D18" s="1"/>
      <c r="E18" s="1"/>
      <c r="F18" s="1"/>
      <c r="G18" s="1"/>
      <c r="H18" s="1"/>
      <c r="I18" s="1"/>
      <c r="J18" s="8"/>
      <c r="K18" s="7">
        <f ca="1">DATEDIF(BoardEntities[[#This Row],[Creation date]],TODAY(),"M")</f>
        <v>0</v>
      </c>
      <c r="L18" s="2"/>
      <c r="M18" s="3"/>
      <c r="N18" s="3">
        <f>BoardEntities[[#This Row],[Length]]*BoardEntities[[#This Row],[Width]]*BoardEntities[[#This Row],[Costs / m²]]/1000/1000</f>
        <v>0</v>
      </c>
      <c r="O18" s="1"/>
      <c r="Q18" s="1"/>
      <c r="R18" s="6" t="e" vm="20">
        <f>IF(BoardEntities[[#This Row],[QR-Code]]&lt;&gt;"",_xlfn.IMAGE(BoardEntities[[#This Row],[QR-Code]],"",3,100,100),"")</f>
        <v>#VALUE!</v>
      </c>
      <c r="Y18" s="1"/>
      <c r="AB18" s="1"/>
      <c r="AC18" s="1"/>
      <c r="AF18" s="1"/>
    </row>
    <row r="19" spans="1:32" x14ac:dyDescent="0.3">
      <c r="A19" s="1"/>
      <c r="B19" s="5" t="e" vm="16">
        <f>IF(BoardEntities[[#This Row],[Thumbnail]]&lt;&gt;"",_xlfn.IMAGE(BoardEntities[[#This Row],[Thumbnail]],"",3,100,100),"")</f>
        <v>#VALUE!</v>
      </c>
      <c r="C19" s="1"/>
      <c r="D19" s="1"/>
      <c r="E19" s="1"/>
      <c r="F19" s="1"/>
      <c r="G19" s="1"/>
      <c r="H19" s="1"/>
      <c r="I19" s="1"/>
      <c r="J19" s="8"/>
      <c r="K19" s="7">
        <f ca="1">DATEDIF(BoardEntities[[#This Row],[Creation date]],TODAY(),"M")</f>
        <v>0</v>
      </c>
      <c r="L19" s="2"/>
      <c r="M19" s="3"/>
      <c r="N19" s="3">
        <f>BoardEntities[[#This Row],[Length]]*BoardEntities[[#This Row],[Width]]*BoardEntities[[#This Row],[Costs / m²]]/1000/1000</f>
        <v>0</v>
      </c>
      <c r="O19" s="1"/>
      <c r="Q19" s="1"/>
      <c r="R19" s="6" t="e" vm="21">
        <f>IF(BoardEntities[[#This Row],[QR-Code]]&lt;&gt;"",_xlfn.IMAGE(BoardEntities[[#This Row],[QR-Code]],"",3,100,100),"")</f>
        <v>#VALUE!</v>
      </c>
      <c r="Y19" s="1"/>
      <c r="AB19" s="1"/>
      <c r="AC19" s="1"/>
      <c r="AF19" s="1"/>
    </row>
    <row r="20" spans="1:32" x14ac:dyDescent="0.3">
      <c r="B20" s="5" t="str">
        <f>IF(BoardEntities[[#This Row],[Thumbnail]]&lt;&gt;"",_xlfn.IMAGE(BoardEntities[[#This Row],[Thumbnail]],"",3,100,100),"")</f>
        <v/>
      </c>
      <c r="C20" s="1"/>
      <c r="D20" s="1"/>
      <c r="E20" s="1"/>
      <c r="F20" s="1"/>
      <c r="G20" s="1"/>
      <c r="H20" s="1"/>
      <c r="I20" s="1"/>
      <c r="J20" s="8"/>
      <c r="K20" s="7">
        <f ca="1">DATEDIF(BoardEntities[[#This Row],[Creation date]],TODAY(),"M")</f>
        <v>0</v>
      </c>
      <c r="L20" s="2"/>
      <c r="M20" s="3"/>
      <c r="N20" s="3">
        <f>BoardEntities[[#This Row],[Length]]*BoardEntities[[#This Row],[Width]]*BoardEntities[[#This Row],[Costs / m²]]/1000/1000</f>
        <v>0</v>
      </c>
      <c r="O20" s="1"/>
      <c r="Q20" s="1"/>
      <c r="R20" s="6" t="e" vm="22">
        <f>IF(BoardEntities[[#This Row],[QR-Code]]&lt;&gt;"",_xlfn.IMAGE(BoardEntities[[#This Row],[QR-Code]],"",3,100,100),"")</f>
        <v>#VALUE!</v>
      </c>
      <c r="Y20" s="1"/>
      <c r="AB20" s="1"/>
      <c r="AC20" s="1"/>
      <c r="AF20" s="1"/>
    </row>
    <row r="21" spans="1:32" x14ac:dyDescent="0.3">
      <c r="B21" s="5" t="str">
        <f>IF(BoardEntities[[#This Row],[Thumbnail]]&lt;&gt;"",_xlfn.IMAGE(BoardEntities[[#This Row],[Thumbnail]],"",3,100,100),"")</f>
        <v/>
      </c>
      <c r="C21" s="1"/>
      <c r="D21" s="1"/>
      <c r="E21" s="1"/>
      <c r="F21" s="1"/>
      <c r="G21" s="1"/>
      <c r="H21" s="1"/>
      <c r="I21" s="1"/>
      <c r="J21" s="8"/>
      <c r="K21" s="7">
        <f ca="1">DATEDIF(BoardEntities[[#This Row],[Creation date]],TODAY(),"M")</f>
        <v>0</v>
      </c>
      <c r="L21" s="2"/>
      <c r="M21" s="3"/>
      <c r="N21" s="3">
        <f>BoardEntities[[#This Row],[Length]]*BoardEntities[[#This Row],[Width]]*BoardEntities[[#This Row],[Costs / m²]]/1000/1000</f>
        <v>0</v>
      </c>
      <c r="O21" s="1"/>
      <c r="Q21" s="1"/>
      <c r="R21" s="6" t="e" vm="23">
        <f>IF(BoardEntities[[#This Row],[QR-Code]]&lt;&gt;"",_xlfn.IMAGE(BoardEntities[[#This Row],[QR-Code]],"",3,100,100),"")</f>
        <v>#VALUE!</v>
      </c>
      <c r="Y21" s="1"/>
      <c r="AB21" s="1"/>
      <c r="AC21" s="1"/>
      <c r="AF21" s="1"/>
    </row>
    <row r="22" spans="1:32" x14ac:dyDescent="0.3">
      <c r="B22" s="5" t="str">
        <f>IF(BoardEntities[[#This Row],[Thumbnail]]&lt;&gt;"",_xlfn.IMAGE(BoardEntities[[#This Row],[Thumbnail]],"",3,100,100),"")</f>
        <v/>
      </c>
      <c r="C22" s="1"/>
      <c r="D22" s="1"/>
      <c r="E22" s="1"/>
      <c r="F22" s="1"/>
      <c r="G22" s="1"/>
      <c r="H22" s="1"/>
      <c r="I22" s="1"/>
      <c r="J22" s="8"/>
      <c r="K22" s="7">
        <f ca="1">DATEDIF(BoardEntities[[#This Row],[Creation date]],TODAY(),"M")</f>
        <v>0</v>
      </c>
      <c r="L22" s="2"/>
      <c r="M22" s="3"/>
      <c r="N22" s="3">
        <f>BoardEntities[[#This Row],[Length]]*BoardEntities[[#This Row],[Width]]*BoardEntities[[#This Row],[Costs / m²]]/1000/1000</f>
        <v>0</v>
      </c>
      <c r="O22" s="1"/>
      <c r="Q22" s="1"/>
      <c r="R22" s="6" t="e" vm="24">
        <f>IF(BoardEntities[[#This Row],[QR-Code]]&lt;&gt;"",_xlfn.IMAGE(BoardEntities[[#This Row],[QR-Code]],"",3,100,100),"")</f>
        <v>#VALUE!</v>
      </c>
      <c r="Y22" s="1"/>
      <c r="AB22" s="1"/>
      <c r="AC22" s="1"/>
      <c r="AF22" s="1"/>
    </row>
    <row r="23" spans="1:32" x14ac:dyDescent="0.3">
      <c r="B23" s="5" t="str">
        <f>IF(BoardEntities[[#This Row],[Thumbnail]]&lt;&gt;"",_xlfn.IMAGE(BoardEntities[[#This Row],[Thumbnail]],"",3,100,100),"")</f>
        <v/>
      </c>
      <c r="C23" s="1"/>
      <c r="D23" s="1"/>
      <c r="E23" s="1"/>
      <c r="F23" s="1"/>
      <c r="G23" s="1"/>
      <c r="H23" s="1"/>
      <c r="I23" s="1"/>
      <c r="J23" s="8"/>
      <c r="K23" s="7">
        <f ca="1">DATEDIF(BoardEntities[[#This Row],[Creation date]],TODAY(),"M")</f>
        <v>0</v>
      </c>
      <c r="L23" s="2"/>
      <c r="M23" s="3"/>
      <c r="N23" s="3">
        <f>BoardEntities[[#This Row],[Length]]*BoardEntities[[#This Row],[Width]]*BoardEntities[[#This Row],[Costs / m²]]/1000/1000</f>
        <v>0</v>
      </c>
      <c r="O23" s="1"/>
      <c r="Q23" s="1"/>
      <c r="R23" s="6" t="e" vm="25">
        <f>IF(BoardEntities[[#This Row],[QR-Code]]&lt;&gt;"",_xlfn.IMAGE(BoardEntities[[#This Row],[QR-Code]],"",3,100,100),"")</f>
        <v>#VALUE!</v>
      </c>
      <c r="Y23" s="1"/>
      <c r="AB23" s="1"/>
      <c r="AC23" s="1"/>
      <c r="AF23" s="1"/>
    </row>
    <row r="24" spans="1:32" x14ac:dyDescent="0.3">
      <c r="B24" s="5" t="str">
        <f>IF(BoardEntities[[#This Row],[Thumbnail]]&lt;&gt;"",_xlfn.IMAGE(BoardEntities[[#This Row],[Thumbnail]],"",3,100,100),"")</f>
        <v/>
      </c>
      <c r="C24" s="1"/>
      <c r="D24" s="1"/>
      <c r="E24" s="1"/>
      <c r="F24" s="1"/>
      <c r="G24" s="1"/>
      <c r="H24" s="1"/>
      <c r="I24" s="1"/>
      <c r="J24" s="8"/>
      <c r="K24" s="7">
        <f ca="1">DATEDIF(BoardEntities[[#This Row],[Creation date]],TODAY(),"M")</f>
        <v>0</v>
      </c>
      <c r="L24" s="2"/>
      <c r="M24" s="3"/>
      <c r="N24" s="3">
        <f>BoardEntities[[#This Row],[Length]]*BoardEntities[[#This Row],[Width]]*BoardEntities[[#This Row],[Costs / m²]]/1000/1000</f>
        <v>0</v>
      </c>
      <c r="O24" s="1"/>
      <c r="Q24" s="1"/>
      <c r="R24" s="6" t="e" vm="26">
        <f>IF(BoardEntities[[#This Row],[QR-Code]]&lt;&gt;"",_xlfn.IMAGE(BoardEntities[[#This Row],[QR-Code]],"",3,100,100),"")</f>
        <v>#VALUE!</v>
      </c>
      <c r="Y24" s="1"/>
      <c r="AB24" s="1"/>
      <c r="AC24" s="1"/>
      <c r="AF24" s="1"/>
    </row>
    <row r="25" spans="1:32" x14ac:dyDescent="0.3">
      <c r="A25" s="1"/>
      <c r="B25" s="5" t="e" vm="27">
        <f>IF(BoardEntities[[#This Row],[Thumbnail]]&lt;&gt;"",_xlfn.IMAGE(BoardEntities[[#This Row],[Thumbnail]],"",3,100,100),"")</f>
        <v>#VALUE!</v>
      </c>
      <c r="C25" s="1"/>
      <c r="D25" s="1"/>
      <c r="E25" s="1"/>
      <c r="F25" s="1"/>
      <c r="G25" s="1"/>
      <c r="H25" s="1"/>
      <c r="I25" s="1"/>
      <c r="J25" s="8"/>
      <c r="K25" s="7">
        <f ca="1">DATEDIF(BoardEntities[[#This Row],[Creation date]],TODAY(),"M")</f>
        <v>0</v>
      </c>
      <c r="L25" s="2"/>
      <c r="M25" s="3"/>
      <c r="N25" s="3">
        <f>BoardEntities[[#This Row],[Length]]*BoardEntities[[#This Row],[Width]]*BoardEntities[[#This Row],[Costs / m²]]/1000/1000</f>
        <v>0</v>
      </c>
      <c r="O25" s="1"/>
      <c r="Q25" s="1"/>
      <c r="R25" s="6" t="e" vm="28">
        <f>IF(BoardEntities[[#This Row],[QR-Code]]&lt;&gt;"",_xlfn.IMAGE(BoardEntities[[#This Row],[QR-Code]],"",3,100,100),"")</f>
        <v>#VALUE!</v>
      </c>
      <c r="Y25" s="1"/>
      <c r="AB25" s="1"/>
      <c r="AC25" s="1"/>
      <c r="AF25" s="1"/>
    </row>
    <row r="26" spans="1:32" x14ac:dyDescent="0.3">
      <c r="A26" s="1"/>
      <c r="B26" s="5" t="e" vm="29">
        <f>IF(BoardEntities[[#This Row],[Thumbnail]]&lt;&gt;"",_xlfn.IMAGE(BoardEntities[[#This Row],[Thumbnail]],"",3,100,100),"")</f>
        <v>#VALUE!</v>
      </c>
      <c r="C26" s="1"/>
      <c r="D26" s="1"/>
      <c r="E26" s="1"/>
      <c r="F26" s="1"/>
      <c r="G26" s="1"/>
      <c r="H26" s="1"/>
      <c r="I26" s="1"/>
      <c r="J26" s="8"/>
      <c r="K26" s="7">
        <f ca="1">DATEDIF(BoardEntities[[#This Row],[Creation date]],TODAY(),"M")</f>
        <v>0</v>
      </c>
      <c r="L26" s="2"/>
      <c r="M26" s="3"/>
      <c r="N26" s="3">
        <f>BoardEntities[[#This Row],[Length]]*BoardEntities[[#This Row],[Width]]*BoardEntities[[#This Row],[Costs / m²]]/1000/1000</f>
        <v>0</v>
      </c>
      <c r="O26" s="1"/>
      <c r="Q26" s="1"/>
      <c r="R26" s="6" t="e" vm="30">
        <f>IF(BoardEntities[[#This Row],[QR-Code]]&lt;&gt;"",_xlfn.IMAGE(BoardEntities[[#This Row],[QR-Code]],"",3,100,100),"")</f>
        <v>#VALUE!</v>
      </c>
      <c r="Y26" s="1"/>
      <c r="AB26" s="1"/>
      <c r="AC26" s="1"/>
      <c r="AF26" s="1"/>
    </row>
    <row r="27" spans="1:32" x14ac:dyDescent="0.3">
      <c r="A27" s="1"/>
      <c r="B27" s="5" t="e" vm="29">
        <f>IF(BoardEntities[[#This Row],[Thumbnail]]&lt;&gt;"",_xlfn.IMAGE(BoardEntities[[#This Row],[Thumbnail]],"",3,100,100),"")</f>
        <v>#VALUE!</v>
      </c>
      <c r="C27" s="1"/>
      <c r="D27" s="1"/>
      <c r="E27" s="1"/>
      <c r="F27" s="1"/>
      <c r="G27" s="1"/>
      <c r="H27" s="1"/>
      <c r="I27" s="1"/>
      <c r="J27" s="8"/>
      <c r="K27" s="7">
        <f ca="1">DATEDIF(BoardEntities[[#This Row],[Creation date]],TODAY(),"M")</f>
        <v>0</v>
      </c>
      <c r="L27" s="2"/>
      <c r="M27" s="3"/>
      <c r="N27" s="3">
        <f>BoardEntities[[#This Row],[Length]]*BoardEntities[[#This Row],[Width]]*BoardEntities[[#This Row],[Costs / m²]]/1000/1000</f>
        <v>0</v>
      </c>
      <c r="O27" s="1"/>
      <c r="Q27" s="1"/>
      <c r="R27" s="6" t="e" vm="31">
        <f>IF(BoardEntities[[#This Row],[QR-Code]]&lt;&gt;"",_xlfn.IMAGE(BoardEntities[[#This Row],[QR-Code]],"",3,100,100),"")</f>
        <v>#VALUE!</v>
      </c>
      <c r="Y27" s="1"/>
      <c r="AB27" s="1"/>
      <c r="AC27" s="1"/>
      <c r="AF27" s="1"/>
    </row>
    <row r="28" spans="1:32" x14ac:dyDescent="0.3">
      <c r="A28" s="1"/>
      <c r="B28" s="5" t="e" vm="29">
        <f>IF(BoardEntities[[#This Row],[Thumbnail]]&lt;&gt;"",_xlfn.IMAGE(BoardEntities[[#This Row],[Thumbnail]],"",3,100,100),"")</f>
        <v>#VALUE!</v>
      </c>
      <c r="C28" s="1"/>
      <c r="D28" s="1"/>
      <c r="E28" s="1"/>
      <c r="F28" s="1"/>
      <c r="G28" s="1"/>
      <c r="H28" s="1"/>
      <c r="I28" s="1"/>
      <c r="J28" s="8"/>
      <c r="K28" s="7">
        <f ca="1">DATEDIF(BoardEntities[[#This Row],[Creation date]],TODAY(),"M")</f>
        <v>0</v>
      </c>
      <c r="L28" s="2"/>
      <c r="M28" s="3"/>
      <c r="N28" s="3">
        <f>BoardEntities[[#This Row],[Length]]*BoardEntities[[#This Row],[Width]]*BoardEntities[[#This Row],[Costs / m²]]/1000/1000</f>
        <v>0</v>
      </c>
      <c r="O28" s="1"/>
      <c r="Q28" s="1"/>
      <c r="R28" s="6" t="e" vm="32">
        <f>IF(BoardEntities[[#This Row],[QR-Code]]&lt;&gt;"",_xlfn.IMAGE(BoardEntities[[#This Row],[QR-Code]],"",3,100,100),"")</f>
        <v>#VALUE!</v>
      </c>
      <c r="Y28" s="1"/>
      <c r="AB28" s="1"/>
      <c r="AC28" s="1"/>
      <c r="AF28" s="1"/>
    </row>
    <row r="29" spans="1:32" x14ac:dyDescent="0.3">
      <c r="A29" s="1"/>
      <c r="B29" s="5" t="e" vm="29">
        <f>IF(BoardEntities[[#This Row],[Thumbnail]]&lt;&gt;"",_xlfn.IMAGE(BoardEntities[[#This Row],[Thumbnail]],"",3,100,100),"")</f>
        <v>#VALUE!</v>
      </c>
      <c r="C29" s="1"/>
      <c r="D29" s="1"/>
      <c r="E29" s="1"/>
      <c r="F29" s="1"/>
      <c r="G29" s="1"/>
      <c r="H29" s="1"/>
      <c r="I29" s="1"/>
      <c r="J29" s="8"/>
      <c r="K29" s="7">
        <f ca="1">DATEDIF(BoardEntities[[#This Row],[Creation date]],TODAY(),"M")</f>
        <v>0</v>
      </c>
      <c r="L29" s="2"/>
      <c r="M29" s="3"/>
      <c r="N29" s="3">
        <f>BoardEntities[[#This Row],[Length]]*BoardEntities[[#This Row],[Width]]*BoardEntities[[#This Row],[Costs / m²]]/1000/1000</f>
        <v>0</v>
      </c>
      <c r="O29" s="1"/>
      <c r="Q29" s="1"/>
      <c r="R29" s="6" t="e" vm="33">
        <f>IF(BoardEntities[[#This Row],[QR-Code]]&lt;&gt;"",_xlfn.IMAGE(BoardEntities[[#This Row],[QR-Code]],"",3,100,100),"")</f>
        <v>#VALUE!</v>
      </c>
      <c r="Y29" s="1"/>
      <c r="AB29" s="1"/>
      <c r="AC29" s="1"/>
      <c r="AF29" s="1"/>
    </row>
    <row r="30" spans="1:32" x14ac:dyDescent="0.3">
      <c r="A30" s="1"/>
      <c r="B30" s="5" t="e" vm="29">
        <f>IF(BoardEntities[[#This Row],[Thumbnail]]&lt;&gt;"",_xlfn.IMAGE(BoardEntities[[#This Row],[Thumbnail]],"",3,100,100),"")</f>
        <v>#VALUE!</v>
      </c>
      <c r="C30" s="1"/>
      <c r="D30" s="1"/>
      <c r="E30" s="1"/>
      <c r="F30" s="1"/>
      <c r="G30" s="1"/>
      <c r="H30" s="1"/>
      <c r="I30" s="1"/>
      <c r="J30" s="8"/>
      <c r="K30" s="7">
        <f ca="1">DATEDIF(BoardEntities[[#This Row],[Creation date]],TODAY(),"M")</f>
        <v>0</v>
      </c>
      <c r="L30" s="2"/>
      <c r="M30" s="3"/>
      <c r="N30" s="3">
        <f>BoardEntities[[#This Row],[Length]]*BoardEntities[[#This Row],[Width]]*BoardEntities[[#This Row],[Costs / m²]]/1000/1000</f>
        <v>0</v>
      </c>
      <c r="O30" s="1"/>
      <c r="Q30" s="1"/>
      <c r="R30" s="6" t="e" vm="34">
        <f>IF(BoardEntities[[#This Row],[QR-Code]]&lt;&gt;"",_xlfn.IMAGE(BoardEntities[[#This Row],[QR-Code]],"",3,100,100),"")</f>
        <v>#VALUE!</v>
      </c>
      <c r="Y30" s="1"/>
      <c r="AB30" s="1"/>
      <c r="AC30" s="1"/>
      <c r="AF30" s="1"/>
    </row>
    <row r="31" spans="1:32" x14ac:dyDescent="0.3">
      <c r="A31" s="1"/>
      <c r="B31" s="5" t="e" vm="29">
        <f>IF(BoardEntities[[#This Row],[Thumbnail]]&lt;&gt;"",_xlfn.IMAGE(BoardEntities[[#This Row],[Thumbnail]],"",3,100,100),"")</f>
        <v>#VALUE!</v>
      </c>
      <c r="C31" s="1"/>
      <c r="D31" s="1"/>
      <c r="E31" s="1"/>
      <c r="F31" s="1"/>
      <c r="G31" s="1"/>
      <c r="H31" s="1"/>
      <c r="I31" s="1"/>
      <c r="J31" s="8"/>
      <c r="K31" s="7">
        <f ca="1">DATEDIF(BoardEntities[[#This Row],[Creation date]],TODAY(),"M")</f>
        <v>0</v>
      </c>
      <c r="L31" s="2"/>
      <c r="M31" s="3"/>
      <c r="N31" s="3">
        <f>BoardEntities[[#This Row],[Length]]*BoardEntities[[#This Row],[Width]]*BoardEntities[[#This Row],[Costs / m²]]/1000/1000</f>
        <v>0</v>
      </c>
      <c r="O31" s="1"/>
      <c r="Q31" s="1"/>
      <c r="R31" s="6" t="e" vm="35">
        <f>IF(BoardEntities[[#This Row],[QR-Code]]&lt;&gt;"",_xlfn.IMAGE(BoardEntities[[#This Row],[QR-Code]],"",3,100,100),"")</f>
        <v>#VALUE!</v>
      </c>
      <c r="Y31" s="1"/>
      <c r="AB31" s="1"/>
      <c r="AC31" s="1"/>
      <c r="AF31" s="1"/>
    </row>
    <row r="32" spans="1:32" x14ac:dyDescent="0.3">
      <c r="A32" s="1"/>
      <c r="B32" s="5" t="e" vm="29">
        <f>IF(BoardEntities[[#This Row],[Thumbnail]]&lt;&gt;"",_xlfn.IMAGE(BoardEntities[[#This Row],[Thumbnail]],"",3,100,100),"")</f>
        <v>#VALUE!</v>
      </c>
      <c r="C32" s="1"/>
      <c r="D32" s="1"/>
      <c r="E32" s="1"/>
      <c r="F32" s="1"/>
      <c r="G32" s="1"/>
      <c r="H32" s="1"/>
      <c r="I32" s="1"/>
      <c r="J32" s="8"/>
      <c r="K32" s="7">
        <f ca="1">DATEDIF(BoardEntities[[#This Row],[Creation date]],TODAY(),"M")</f>
        <v>0</v>
      </c>
      <c r="L32" s="2"/>
      <c r="M32" s="3"/>
      <c r="N32" s="3">
        <f>BoardEntities[[#This Row],[Length]]*BoardEntities[[#This Row],[Width]]*BoardEntities[[#This Row],[Costs / m²]]/1000/1000</f>
        <v>0</v>
      </c>
      <c r="O32" s="1"/>
      <c r="Q32" s="1"/>
      <c r="R32" s="6" t="e" vm="36">
        <f>IF(BoardEntities[[#This Row],[QR-Code]]&lt;&gt;"",_xlfn.IMAGE(BoardEntities[[#This Row],[QR-Code]],"",3,100,100),"")</f>
        <v>#VALUE!</v>
      </c>
      <c r="Y32" s="1"/>
      <c r="AB32" s="1"/>
      <c r="AC32" s="1"/>
      <c r="AF32" s="1"/>
    </row>
    <row r="33" spans="25:32" ht="14.4" x14ac:dyDescent="0.3">
      <c r="Y33" s="1"/>
      <c r="AB33" s="1"/>
      <c r="AC33" s="1"/>
      <c r="AF33" s="1"/>
    </row>
    <row r="34" spans="25:32" ht="14.4" x14ac:dyDescent="0.3">
      <c r="Y34" s="1"/>
      <c r="AB34" s="1"/>
      <c r="AC34" s="1"/>
      <c r="AF34" s="1"/>
    </row>
    <row r="35" spans="25:32" ht="14.4" x14ac:dyDescent="0.3">
      <c r="Y35" s="1"/>
      <c r="AB35" s="1"/>
      <c r="AC35" s="1"/>
      <c r="AF35" s="1"/>
    </row>
    <row r="36" spans="25:32" ht="14.4" x14ac:dyDescent="0.3">
      <c r="Y36" s="1"/>
      <c r="AB36" s="1"/>
      <c r="AC36" s="1"/>
      <c r="AF36" s="1"/>
    </row>
    <row r="37" spans="25:32" ht="14.4" x14ac:dyDescent="0.3">
      <c r="Y37" s="1"/>
      <c r="AB37" s="1"/>
      <c r="AC37" s="1"/>
      <c r="AF37" s="1"/>
    </row>
    <row r="38" spans="25:32" ht="14.4" x14ac:dyDescent="0.3">
      <c r="Y38" s="1"/>
      <c r="AB38" s="1"/>
      <c r="AC38" s="1"/>
      <c r="AF38" s="1"/>
    </row>
    <row r="39" spans="25:32" ht="14.4" x14ac:dyDescent="0.3">
      <c r="Y39" s="1"/>
      <c r="AB39" s="1"/>
      <c r="AC39" s="1"/>
      <c r="AF39" s="1"/>
    </row>
    <row r="40" spans="25:32" ht="14.4" x14ac:dyDescent="0.3">
      <c r="Y40" s="1"/>
      <c r="AB40" s="1"/>
      <c r="AC40" s="1"/>
      <c r="AF40" s="1"/>
    </row>
    <row r="41" spans="25:32" ht="14.4" x14ac:dyDescent="0.3">
      <c r="Y41" s="1"/>
      <c r="AB41" s="1"/>
      <c r="AC41" s="1"/>
      <c r="AF41" s="1"/>
    </row>
    <row r="42" spans="25:32" ht="14.4" x14ac:dyDescent="0.3">
      <c r="Y42" s="1"/>
      <c r="AB42" s="1"/>
      <c r="AC42" s="1"/>
      <c r="AF42" s="1"/>
    </row>
    <row r="43" spans="25:32" ht="14.4" x14ac:dyDescent="0.3">
      <c r="Y43" s="1"/>
      <c r="AB43" s="1"/>
      <c r="AC43" s="1"/>
      <c r="AF43" s="1"/>
    </row>
    <row r="44" spans="25:32" ht="14.4" x14ac:dyDescent="0.3">
      <c r="Y44" s="1"/>
      <c r="AB44" s="1"/>
      <c r="AC44" s="1"/>
      <c r="AF44" s="1"/>
    </row>
    <row r="45" spans="25:32" ht="14.4" x14ac:dyDescent="0.3">
      <c r="Y45" s="1"/>
      <c r="AB45" s="1"/>
      <c r="AC45" s="1"/>
      <c r="AF45" s="1"/>
    </row>
    <row r="46" spans="25:32" ht="14.4" x14ac:dyDescent="0.3">
      <c r="Y46" s="1"/>
      <c r="AB46" s="1"/>
      <c r="AC46" s="1"/>
      <c r="AF46" s="1"/>
    </row>
    <row r="47" spans="25:32" ht="14.4" x14ac:dyDescent="0.3">
      <c r="Y47" s="1"/>
      <c r="AB47" s="1"/>
      <c r="AC47" s="1"/>
      <c r="AF47" s="1"/>
    </row>
    <row r="48" spans="25:32" ht="14.4" x14ac:dyDescent="0.3">
      <c r="Y48" s="1"/>
      <c r="AB48" s="1"/>
      <c r="AC48" s="1"/>
      <c r="AF48" s="1"/>
    </row>
    <row r="49" spans="25:32" ht="14.4" x14ac:dyDescent="0.3">
      <c r="Y49" s="1"/>
      <c r="AB49" s="1"/>
      <c r="AC49" s="1"/>
      <c r="AF49" s="1"/>
    </row>
    <row r="50" spans="25:32" ht="14.4" x14ac:dyDescent="0.3">
      <c r="Y50" s="1"/>
      <c r="AB50" s="1"/>
      <c r="AC50" s="1"/>
      <c r="AF50" s="1"/>
    </row>
    <row r="51" spans="25:32" ht="14.4" x14ac:dyDescent="0.3">
      <c r="Y51" s="1"/>
      <c r="AB51" s="1"/>
      <c r="AC51" s="1"/>
      <c r="AF51" s="1"/>
    </row>
    <row r="52" spans="25:32" ht="14.4" x14ac:dyDescent="0.3">
      <c r="Y52" s="1"/>
      <c r="AB52" s="1"/>
      <c r="AC52" s="1"/>
      <c r="AF52" s="1"/>
    </row>
    <row r="53" spans="25:32" ht="14.4" x14ac:dyDescent="0.3">
      <c r="Y53" s="1"/>
      <c r="AB53" s="1"/>
      <c r="AC53" s="1"/>
      <c r="AF53" s="1"/>
    </row>
    <row r="54" spans="25:32" ht="14.4" x14ac:dyDescent="0.3">
      <c r="Y54" s="1"/>
      <c r="AB54" s="1"/>
      <c r="AC54" s="1"/>
      <c r="AF54" s="1"/>
    </row>
    <row r="55" spans="25:32" ht="14.4" x14ac:dyDescent="0.3">
      <c r="Y55" s="1"/>
      <c r="AB55" s="1"/>
      <c r="AC55" s="1"/>
      <c r="AF55" s="1"/>
    </row>
    <row r="56" spans="25:32" ht="14.4" x14ac:dyDescent="0.3">
      <c r="Y56" s="1"/>
      <c r="AB56" s="1"/>
      <c r="AC56" s="1"/>
      <c r="AF56" s="1"/>
    </row>
    <row r="57" spans="25:32" ht="14.4" x14ac:dyDescent="0.3">
      <c r="Y57" s="1"/>
      <c r="AB57" s="1"/>
      <c r="AC57" s="1"/>
      <c r="AF57" s="1"/>
    </row>
    <row r="58" spans="25:32" ht="14.4" x14ac:dyDescent="0.3">
      <c r="Y58" s="1"/>
      <c r="AB58" s="1"/>
      <c r="AC58" s="1"/>
      <c r="AF58" s="1"/>
    </row>
    <row r="59" spans="25:32" ht="14.4" x14ac:dyDescent="0.3">
      <c r="Y59" s="1"/>
      <c r="AB59" s="1"/>
      <c r="AC59" s="1"/>
      <c r="AF59" s="1"/>
    </row>
    <row r="60" spans="25:32" ht="14.4" x14ac:dyDescent="0.3">
      <c r="Y60" s="1"/>
      <c r="AB60" s="1"/>
      <c r="AC60" s="1"/>
      <c r="AF60" s="1"/>
    </row>
    <row r="61" spans="25:32" ht="14.4" x14ac:dyDescent="0.3">
      <c r="Y61" s="1"/>
      <c r="AB61" s="1"/>
      <c r="AC61" s="1"/>
      <c r="AF61" s="1"/>
    </row>
    <row r="62" spans="25:32" ht="14.4" x14ac:dyDescent="0.3">
      <c r="Y62" s="1"/>
      <c r="AB62" s="1"/>
      <c r="AC62" s="1"/>
      <c r="AF62" s="1"/>
    </row>
    <row r="63" spans="25:32" ht="14.4" x14ac:dyDescent="0.3">
      <c r="Y63" s="1"/>
      <c r="AB63" s="1"/>
      <c r="AC63" s="1"/>
      <c r="AF63" s="1"/>
    </row>
    <row r="64" spans="25:32" ht="14.4" x14ac:dyDescent="0.3">
      <c r="Y64" s="1"/>
      <c r="AB64" s="1"/>
      <c r="AC64" s="1"/>
      <c r="AF64" s="1"/>
    </row>
    <row r="65" spans="25:32" ht="14.4" x14ac:dyDescent="0.3">
      <c r="Y65" s="1"/>
      <c r="AB65" s="1"/>
      <c r="AC65" s="1"/>
      <c r="AF65" s="1"/>
    </row>
    <row r="66" spans="25:32" ht="14.4" x14ac:dyDescent="0.3">
      <c r="Y66" s="1"/>
      <c r="AB66" s="1"/>
      <c r="AC66" s="1"/>
      <c r="AF66" s="1"/>
    </row>
    <row r="67" spans="25:32" ht="14.4" x14ac:dyDescent="0.3">
      <c r="Y67" s="1"/>
      <c r="AB67" s="1"/>
      <c r="AC67" s="1"/>
      <c r="AF67" s="1"/>
    </row>
    <row r="68" spans="25:32" ht="14.4" x14ac:dyDescent="0.3">
      <c r="Y68" s="1"/>
      <c r="AB68" s="1"/>
      <c r="AC68" s="1"/>
      <c r="AF68" s="1"/>
    </row>
    <row r="69" spans="25:32" ht="14.4" x14ac:dyDescent="0.3">
      <c r="Y69" s="1"/>
      <c r="AB69" s="1"/>
      <c r="AC69" s="1"/>
      <c r="AF69" s="1"/>
    </row>
    <row r="70" spans="25:32" ht="14.4" x14ac:dyDescent="0.3">
      <c r="Y70" s="1"/>
      <c r="AB70" s="1"/>
      <c r="AC70" s="1"/>
      <c r="AF70" s="1"/>
    </row>
    <row r="71" spans="25:32" ht="14.4" x14ac:dyDescent="0.3">
      <c r="Y71" s="1"/>
      <c r="AB71" s="1"/>
      <c r="AC71" s="1"/>
      <c r="AF71" s="1"/>
    </row>
    <row r="72" spans="25:32" ht="14.4" x14ac:dyDescent="0.3">
      <c r="Y72" s="1"/>
      <c r="AB72" s="1"/>
      <c r="AC72" s="1"/>
      <c r="AF72" s="1"/>
    </row>
    <row r="73" spans="25:32" ht="14.4" x14ac:dyDescent="0.3">
      <c r="Y73" s="1"/>
      <c r="AB73" s="1"/>
      <c r="AC73" s="1"/>
      <c r="AF73" s="1"/>
    </row>
    <row r="74" spans="25:32" ht="14.4" x14ac:dyDescent="0.3">
      <c r="Y74" s="1"/>
      <c r="AB74" s="1"/>
      <c r="AC74" s="1"/>
      <c r="AF74" s="1"/>
    </row>
    <row r="75" spans="25:32" ht="14.4" x14ac:dyDescent="0.3">
      <c r="Y75" s="1"/>
      <c r="AB75" s="1"/>
      <c r="AC75" s="1"/>
      <c r="AF75" s="1"/>
    </row>
    <row r="76" spans="25:32" ht="14.4" x14ac:dyDescent="0.3">
      <c r="Y76" s="1"/>
      <c r="AB76" s="1"/>
      <c r="AC76" s="1"/>
      <c r="AF76" s="1"/>
    </row>
    <row r="77" spans="25:32" ht="14.4" x14ac:dyDescent="0.3">
      <c r="Y77" s="1"/>
      <c r="AB77" s="1"/>
      <c r="AC77" s="1"/>
      <c r="AF77" s="1"/>
    </row>
    <row r="78" spans="25:32" ht="14.4" x14ac:dyDescent="0.3">
      <c r="Y78" s="1"/>
      <c r="AB78" s="1"/>
      <c r="AC78" s="1"/>
      <c r="AF78" s="1"/>
    </row>
    <row r="79" spans="25:32" ht="14.4" x14ac:dyDescent="0.3">
      <c r="Y79" s="1"/>
      <c r="AB79" s="1"/>
      <c r="AC79" s="1"/>
      <c r="AF79" s="1"/>
    </row>
    <row r="80" spans="25:32" ht="14.4" x14ac:dyDescent="0.3">
      <c r="Y80" s="1"/>
      <c r="AB80" s="1"/>
      <c r="AC80" s="1"/>
      <c r="AF80" s="1"/>
    </row>
    <row r="81" spans="25:32" ht="14.4" x14ac:dyDescent="0.3">
      <c r="Y81" s="1"/>
      <c r="AB81" s="1"/>
      <c r="AC81" s="1"/>
      <c r="AF81" s="1"/>
    </row>
    <row r="82" spans="25:32" ht="14.4" x14ac:dyDescent="0.3">
      <c r="Y82" s="1"/>
      <c r="AB82" s="1"/>
      <c r="AC82" s="1"/>
      <c r="AF82" s="1"/>
    </row>
    <row r="83" spans="25:32" ht="14.4" x14ac:dyDescent="0.3">
      <c r="Y83" s="1"/>
      <c r="AB83" s="1"/>
      <c r="AC83" s="1"/>
      <c r="AF83" s="1"/>
    </row>
    <row r="84" spans="25:32" ht="14.4" x14ac:dyDescent="0.3">
      <c r="Y84" s="1"/>
      <c r="AB84" s="1"/>
      <c r="AC84" s="1"/>
      <c r="AF84" s="1"/>
    </row>
    <row r="85" spans="25:32" ht="14.4" x14ac:dyDescent="0.3">
      <c r="Y85" s="1"/>
      <c r="AB85" s="1"/>
      <c r="AC85" s="1"/>
      <c r="AF85" s="1"/>
    </row>
    <row r="86" spans="25:32" ht="14.4" x14ac:dyDescent="0.3">
      <c r="Y86" s="1"/>
      <c r="AB86" s="1"/>
      <c r="AC86" s="1"/>
      <c r="AF86" s="1"/>
    </row>
    <row r="87" spans="25:32" ht="14.4" x14ac:dyDescent="0.3">
      <c r="Y87" s="1"/>
      <c r="AB87" s="1"/>
      <c r="AC87" s="1"/>
      <c r="AF87" s="1"/>
    </row>
    <row r="88" spans="25:32" ht="14.4" x14ac:dyDescent="0.3">
      <c r="Y88" s="1"/>
      <c r="AB88" s="1"/>
      <c r="AC88" s="1"/>
      <c r="AF88" s="1"/>
    </row>
    <row r="89" spans="25:32" ht="14.4" x14ac:dyDescent="0.3">
      <c r="Y89" s="1"/>
      <c r="AB89" s="1"/>
      <c r="AC89" s="1"/>
      <c r="AF89" s="1"/>
    </row>
    <row r="90" spans="25:32" ht="14.4" x14ac:dyDescent="0.3">
      <c r="Y90" s="1"/>
      <c r="AB90" s="1"/>
      <c r="AC90" s="1"/>
      <c r="AF90" s="1"/>
    </row>
    <row r="91" spans="25:32" ht="14.4" x14ac:dyDescent="0.3">
      <c r="Y91" s="1"/>
      <c r="AB91" s="1"/>
      <c r="AC91" s="1"/>
      <c r="AF91" s="1"/>
    </row>
    <row r="92" spans="25:32" ht="14.4" x14ac:dyDescent="0.3">
      <c r="Y92" s="1"/>
      <c r="AB92" s="1"/>
      <c r="AC92" s="1"/>
      <c r="AF92" s="1"/>
    </row>
    <row r="93" spans="25:32" ht="14.4" x14ac:dyDescent="0.3">
      <c r="Y93" s="1"/>
      <c r="AB93" s="1"/>
      <c r="AC93" s="1"/>
      <c r="AF93" s="1"/>
    </row>
    <row r="94" spans="25:32" ht="14.4" x14ac:dyDescent="0.3">
      <c r="Y94" s="1"/>
      <c r="AB94" s="1"/>
      <c r="AC94" s="1"/>
      <c r="AF94" s="1"/>
    </row>
    <row r="95" spans="25:32" ht="14.4" x14ac:dyDescent="0.3">
      <c r="Y95" s="1"/>
      <c r="AB95" s="1"/>
      <c r="AC95" s="1"/>
      <c r="AF95" s="1"/>
    </row>
    <row r="96" spans="25:32" ht="14.4" x14ac:dyDescent="0.3">
      <c r="Y96" s="1"/>
      <c r="AB96" s="1"/>
      <c r="AC96" s="1"/>
      <c r="AF96" s="1"/>
    </row>
    <row r="97" spans="25:32" ht="14.4" x14ac:dyDescent="0.3">
      <c r="Y97" s="1"/>
      <c r="AB97" s="1"/>
      <c r="AC97" s="1"/>
      <c r="AF97" s="1"/>
    </row>
    <row r="98" spans="25:32" ht="14.4" x14ac:dyDescent="0.3">
      <c r="Y98" s="1"/>
      <c r="AB98" s="1"/>
      <c r="AC98" s="1"/>
      <c r="AF98" s="1"/>
    </row>
    <row r="99" spans="25:32" ht="14.4" x14ac:dyDescent="0.3">
      <c r="Y99" s="1"/>
      <c r="AB99" s="1"/>
      <c r="AC99" s="1"/>
      <c r="AF99" s="1"/>
    </row>
    <row r="100" spans="25:32" ht="14.4" x14ac:dyDescent="0.3">
      <c r="Y100" s="1"/>
      <c r="AB100" s="1"/>
      <c r="AC100" s="1"/>
      <c r="AF100" s="1"/>
    </row>
    <row r="101" spans="25:32" ht="14.4" x14ac:dyDescent="0.3">
      <c r="Y101" s="1"/>
      <c r="AB101" s="1"/>
      <c r="AC101" s="1"/>
      <c r="AF101" s="1"/>
    </row>
    <row r="102" spans="25:32" ht="14.4" x14ac:dyDescent="0.3">
      <c r="Y102" s="1"/>
      <c r="AB102" s="1"/>
      <c r="AC102" s="1"/>
      <c r="AF102" s="1"/>
    </row>
    <row r="103" spans="25:32" ht="14.4" x14ac:dyDescent="0.3">
      <c r="Y103" s="1"/>
      <c r="AB103" s="1"/>
      <c r="AC103" s="1"/>
      <c r="AF103" s="1"/>
    </row>
    <row r="104" spans="25:32" ht="14.4" x14ac:dyDescent="0.3">
      <c r="Y104" s="1"/>
      <c r="AB104" s="1"/>
      <c r="AC104" s="1"/>
      <c r="AF104" s="1"/>
    </row>
    <row r="105" spans="25:32" ht="14.4" x14ac:dyDescent="0.3">
      <c r="Y105" s="1"/>
      <c r="AB105" s="1"/>
      <c r="AC105" s="1"/>
      <c r="AF105" s="1"/>
    </row>
    <row r="106" spans="25:32" ht="14.4" x14ac:dyDescent="0.3">
      <c r="Y106" s="1"/>
      <c r="AB106" s="1"/>
      <c r="AC106" s="1"/>
      <c r="AF106" s="1"/>
    </row>
    <row r="107" spans="25:32" ht="14.4" x14ac:dyDescent="0.3">
      <c r="Y107" s="1"/>
      <c r="AB107" s="1"/>
      <c r="AC107" s="1"/>
      <c r="AF107" s="1"/>
    </row>
    <row r="108" spans="25:32" ht="14.4" x14ac:dyDescent="0.3">
      <c r="Y108" s="1"/>
      <c r="AB108" s="1"/>
      <c r="AC108" s="1"/>
      <c r="AF108" s="1"/>
    </row>
    <row r="109" spans="25:32" ht="14.4" x14ac:dyDescent="0.3">
      <c r="Y109" s="1"/>
      <c r="AB109" s="1"/>
      <c r="AC109" s="1"/>
      <c r="AF109" s="1"/>
    </row>
    <row r="110" spans="25:32" ht="14.4" x14ac:dyDescent="0.3">
      <c r="Y110" s="1"/>
      <c r="AB110" s="1"/>
      <c r="AC110" s="1"/>
      <c r="AF110" s="1"/>
    </row>
    <row r="111" spans="25:32" ht="14.4" x14ac:dyDescent="0.3">
      <c r="Y111" s="1"/>
      <c r="AB111" s="1"/>
      <c r="AC111" s="1"/>
      <c r="AF111" s="1"/>
    </row>
    <row r="112" spans="25:32" ht="14.4" x14ac:dyDescent="0.3">
      <c r="Y112" s="1"/>
      <c r="AB112" s="1"/>
      <c r="AC112" s="1"/>
      <c r="AF112" s="1"/>
    </row>
    <row r="113" spans="25:32" ht="14.4" x14ac:dyDescent="0.3">
      <c r="Y113" s="1"/>
      <c r="AB113" s="1"/>
      <c r="AC113" s="1"/>
      <c r="AF113" s="1"/>
    </row>
    <row r="114" spans="25:32" ht="14.4" x14ac:dyDescent="0.3">
      <c r="Y114" s="1"/>
      <c r="AB114" s="1"/>
      <c r="AC114" s="1"/>
      <c r="AF114" s="1"/>
    </row>
    <row r="115" spans="25:32" ht="14.4" x14ac:dyDescent="0.3">
      <c r="Y115" s="1"/>
      <c r="AB115" s="1"/>
      <c r="AC115" s="1"/>
      <c r="AF115" s="1"/>
    </row>
    <row r="116" spans="25:32" ht="14.4" x14ac:dyDescent="0.3">
      <c r="Y116" s="1"/>
      <c r="AB116" s="1"/>
      <c r="AC116" s="1"/>
      <c r="AF116" s="1"/>
    </row>
    <row r="117" spans="25:32" ht="14.4" x14ac:dyDescent="0.3">
      <c r="Y117" s="1"/>
      <c r="AB117" s="1"/>
      <c r="AC117" s="1"/>
      <c r="AF117" s="1"/>
    </row>
    <row r="118" spans="25:32" ht="14.4" x14ac:dyDescent="0.3">
      <c r="Y118" s="1"/>
      <c r="AB118" s="1"/>
      <c r="AC118" s="1"/>
      <c r="AF118" s="1"/>
    </row>
    <row r="119" spans="25:32" ht="14.4" x14ac:dyDescent="0.3">
      <c r="Y119" s="1"/>
      <c r="AB119" s="1"/>
      <c r="AC119" s="1"/>
      <c r="AF119" s="1"/>
    </row>
    <row r="120" spans="25:32" ht="14.4" x14ac:dyDescent="0.3">
      <c r="Y120" s="1"/>
      <c r="AB120" s="1"/>
      <c r="AC120" s="1"/>
      <c r="AF120" s="1"/>
    </row>
    <row r="121" spans="25:32" ht="14.4" x14ac:dyDescent="0.3">
      <c r="Y121" s="1"/>
      <c r="AB121" s="1"/>
      <c r="AC121" s="1"/>
      <c r="AF121" s="1"/>
    </row>
    <row r="122" spans="25:32" ht="14.4" x14ac:dyDescent="0.3">
      <c r="Y122" s="1"/>
      <c r="AB122" s="1"/>
      <c r="AC122" s="1"/>
      <c r="AF122" s="1"/>
    </row>
    <row r="123" spans="25:32" ht="14.4" x14ac:dyDescent="0.3">
      <c r="Y123" s="1"/>
      <c r="AB123" s="1"/>
      <c r="AC123" s="1"/>
      <c r="AF123" s="1"/>
    </row>
    <row r="124" spans="25:32" ht="14.4" x14ac:dyDescent="0.3">
      <c r="Y124" s="1"/>
      <c r="AB124" s="1"/>
      <c r="AC124" s="1"/>
      <c r="AF124" s="1"/>
    </row>
    <row r="125" spans="25:32" ht="14.4" x14ac:dyDescent="0.3">
      <c r="Y125" s="1"/>
      <c r="AB125" s="1"/>
      <c r="AC125" s="1"/>
      <c r="AF125" s="1"/>
    </row>
    <row r="126" spans="25:32" ht="14.4" x14ac:dyDescent="0.3">
      <c r="Y126" s="1"/>
      <c r="AB126" s="1"/>
      <c r="AC126" s="1"/>
      <c r="AF126" s="1"/>
    </row>
    <row r="127" spans="25:32" ht="14.4" x14ac:dyDescent="0.3">
      <c r="Y127" s="1"/>
      <c r="AB127" s="1"/>
      <c r="AC127" s="1"/>
      <c r="AF127" s="1"/>
    </row>
    <row r="128" spans="25:32" ht="14.4" x14ac:dyDescent="0.3">
      <c r="Y128" s="1"/>
      <c r="AB128" s="1"/>
      <c r="AC128" s="1"/>
      <c r="AF128" s="1"/>
    </row>
    <row r="129" spans="25:32" ht="14.4" x14ac:dyDescent="0.3">
      <c r="Y129" s="1"/>
      <c r="AB129" s="1"/>
      <c r="AC129" s="1"/>
      <c r="AF129" s="1"/>
    </row>
    <row r="130" spans="25:32" ht="14.4" x14ac:dyDescent="0.3">
      <c r="Y130" s="1"/>
      <c r="AB130" s="1"/>
      <c r="AC130" s="1"/>
      <c r="AF130" s="1"/>
    </row>
    <row r="131" spans="25:32" ht="14.4" x14ac:dyDescent="0.3">
      <c r="Y131" s="1"/>
      <c r="AB131" s="1"/>
      <c r="AC131" s="1"/>
      <c r="AF131" s="1"/>
    </row>
    <row r="132" spans="25:32" ht="14.4" x14ac:dyDescent="0.3">
      <c r="Y132" s="1"/>
      <c r="AB132" s="1"/>
      <c r="AC132" s="1"/>
      <c r="AF132" s="1"/>
    </row>
    <row r="133" spans="25:32" ht="14.4" x14ac:dyDescent="0.3">
      <c r="Y133" s="1"/>
      <c r="AB133" s="1"/>
      <c r="AC133" s="1"/>
      <c r="AF133" s="1"/>
    </row>
    <row r="134" spans="25:32" ht="14.4" x14ac:dyDescent="0.3">
      <c r="Y134" s="1"/>
      <c r="AB134" s="1"/>
      <c r="AC134" s="1"/>
      <c r="AF134" s="1"/>
    </row>
    <row r="135" spans="25:32" ht="14.4" x14ac:dyDescent="0.3">
      <c r="Y135" s="1"/>
      <c r="AB135" s="1"/>
      <c r="AC135" s="1"/>
      <c r="AF135" s="1"/>
    </row>
    <row r="136" spans="25:32" ht="14.4" x14ac:dyDescent="0.3">
      <c r="Y136" s="1"/>
      <c r="AB136" s="1"/>
      <c r="AC136" s="1"/>
      <c r="AF136" s="1"/>
    </row>
    <row r="137" spans="25:32" ht="14.4" x14ac:dyDescent="0.3">
      <c r="Y137" s="1"/>
      <c r="AB137" s="1"/>
      <c r="AC137" s="1"/>
      <c r="AF137" s="1"/>
    </row>
    <row r="138" spans="25:32" ht="14.4" x14ac:dyDescent="0.3">
      <c r="Y138" s="1"/>
      <c r="AB138" s="1"/>
      <c r="AC138" s="1"/>
      <c r="AF138" s="1"/>
    </row>
    <row r="139" spans="25:32" ht="14.4" x14ac:dyDescent="0.3">
      <c r="Y139" s="1"/>
      <c r="AB139" s="1"/>
      <c r="AC139" s="1"/>
      <c r="AF139" s="1"/>
    </row>
    <row r="140" spans="25:32" ht="14.4" x14ac:dyDescent="0.3">
      <c r="Y140" s="1"/>
      <c r="AB140" s="1"/>
      <c r="AC140" s="1"/>
      <c r="AF140" s="1"/>
    </row>
    <row r="141" spans="25:32" ht="14.4" x14ac:dyDescent="0.3">
      <c r="Y141" s="1"/>
      <c r="AB141" s="1"/>
      <c r="AC141" s="1"/>
      <c r="AF141" s="1"/>
    </row>
    <row r="142" spans="25:32" ht="14.4" x14ac:dyDescent="0.3">
      <c r="Y142" s="1"/>
      <c r="AB142" s="1"/>
      <c r="AC142" s="1"/>
      <c r="AF142" s="1"/>
    </row>
    <row r="143" spans="25:32" ht="14.4" x14ac:dyDescent="0.3">
      <c r="Y143" s="1"/>
      <c r="AB143" s="1"/>
      <c r="AC143" s="1"/>
      <c r="AF143" s="1"/>
    </row>
    <row r="144" spans="25:32" ht="14.4" x14ac:dyDescent="0.3">
      <c r="Y144" s="1"/>
      <c r="AB144" s="1"/>
      <c r="AC144" s="1"/>
      <c r="AF144" s="1"/>
    </row>
    <row r="145" spans="25:32" ht="14.4" x14ac:dyDescent="0.3">
      <c r="Y145" s="1"/>
      <c r="AB145" s="1"/>
      <c r="AC145" s="1"/>
      <c r="AF145" s="1"/>
    </row>
    <row r="146" spans="25:32" ht="14.4" x14ac:dyDescent="0.3">
      <c r="Y146" s="1"/>
      <c r="AB146" s="1"/>
      <c r="AC146" s="1"/>
      <c r="AF146" s="1"/>
    </row>
    <row r="147" spans="25:32" ht="14.4" x14ac:dyDescent="0.3">
      <c r="Y147" s="1"/>
      <c r="AB147" s="1"/>
      <c r="AC147" s="1"/>
      <c r="AF147" s="1"/>
    </row>
    <row r="148" spans="25:32" ht="14.4" x14ac:dyDescent="0.3">
      <c r="Y148" s="1"/>
      <c r="AB148" s="1"/>
      <c r="AC148" s="1"/>
      <c r="AF148" s="1"/>
    </row>
    <row r="149" spans="25:32" ht="14.4" x14ac:dyDescent="0.3">
      <c r="Y149" s="1"/>
      <c r="AB149" s="1"/>
      <c r="AC149" s="1"/>
      <c r="AF149" s="1"/>
    </row>
    <row r="150" spans="25:32" ht="14.4" x14ac:dyDescent="0.3">
      <c r="Y150" s="1"/>
      <c r="AB150" s="1"/>
      <c r="AC150" s="1"/>
      <c r="AF150" s="1"/>
    </row>
    <row r="151" spans="25:32" ht="14.4" x14ac:dyDescent="0.3">
      <c r="Y151" s="1"/>
      <c r="AB151" s="1"/>
      <c r="AC151" s="1"/>
      <c r="AF151" s="1"/>
    </row>
    <row r="152" spans="25:32" ht="14.4" x14ac:dyDescent="0.3">
      <c r="Y152" s="1"/>
      <c r="AB152" s="1"/>
      <c r="AC152" s="1"/>
      <c r="AF152" s="1"/>
    </row>
    <row r="153" spans="25:32" ht="14.4" x14ac:dyDescent="0.3">
      <c r="Y153" s="1"/>
      <c r="AB153" s="1"/>
      <c r="AC153" s="1"/>
      <c r="AF153" s="1"/>
    </row>
    <row r="154" spans="25:32" ht="14.4" x14ac:dyDescent="0.3">
      <c r="Y154" s="1"/>
      <c r="AB154" s="1"/>
      <c r="AC154" s="1"/>
      <c r="AF154" s="1"/>
    </row>
    <row r="155" spans="25:32" ht="14.4" x14ac:dyDescent="0.3">
      <c r="Y155" s="1"/>
      <c r="AB155" s="1"/>
      <c r="AC155" s="1"/>
      <c r="AF155" s="1"/>
    </row>
    <row r="156" spans="25:32" ht="14.4" x14ac:dyDescent="0.3">
      <c r="Y156" s="1"/>
      <c r="AB156" s="1"/>
      <c r="AC156" s="1"/>
      <c r="AF156" s="1"/>
    </row>
    <row r="157" spans="25:32" ht="14.4" x14ac:dyDescent="0.3">
      <c r="Y157" s="1"/>
      <c r="AB157" s="1"/>
      <c r="AC157" s="1"/>
      <c r="AF157" s="1"/>
    </row>
    <row r="158" spans="25:32" ht="14.4" x14ac:dyDescent="0.3">
      <c r="Y158" s="1"/>
      <c r="AB158" s="1"/>
      <c r="AC158" s="1"/>
      <c r="AF158" s="1"/>
    </row>
    <row r="159" spans="25:32" ht="14.4" x14ac:dyDescent="0.3">
      <c r="Y159" s="1"/>
      <c r="AB159" s="1"/>
      <c r="AC159" s="1"/>
      <c r="AF159" s="1"/>
    </row>
    <row r="160" spans="25:32" ht="14.4" x14ac:dyDescent="0.3">
      <c r="Y160" s="1"/>
      <c r="AB160" s="1"/>
      <c r="AC160" s="1"/>
      <c r="AF160" s="1"/>
    </row>
    <row r="161" spans="25:32" ht="14.4" x14ac:dyDescent="0.3">
      <c r="Y161" s="1"/>
      <c r="AB161" s="1"/>
      <c r="AC161" s="1"/>
      <c r="AF161" s="1"/>
    </row>
    <row r="162" spans="25:32" ht="14.4" x14ac:dyDescent="0.3">
      <c r="Y162" s="1"/>
      <c r="AB162" s="1"/>
      <c r="AC162" s="1"/>
      <c r="AF162" s="1"/>
    </row>
    <row r="163" spans="25:32" ht="14.4" x14ac:dyDescent="0.3">
      <c r="Y163" s="1"/>
      <c r="AB163" s="1"/>
      <c r="AC163" s="1"/>
      <c r="AF163" s="1"/>
    </row>
    <row r="164" spans="25:32" ht="14.4" x14ac:dyDescent="0.3">
      <c r="Y164" s="1"/>
      <c r="AB164" s="1"/>
      <c r="AC164" s="1"/>
      <c r="AF164" s="1"/>
    </row>
    <row r="165" spans="25:32" ht="14.4" x14ac:dyDescent="0.3">
      <c r="Y165" s="1"/>
      <c r="AB165" s="1"/>
      <c r="AC165" s="1"/>
      <c r="AF165" s="1"/>
    </row>
    <row r="166" spans="25:32" ht="14.4" x14ac:dyDescent="0.3">
      <c r="Y166" s="1"/>
      <c r="AB166" s="1"/>
      <c r="AC166" s="1"/>
      <c r="AF166" s="1"/>
    </row>
    <row r="167" spans="25:32" ht="14.4" x14ac:dyDescent="0.3">
      <c r="Y167" s="1"/>
      <c r="AB167" s="1"/>
      <c r="AC167" s="1"/>
      <c r="AF167" s="1"/>
    </row>
    <row r="168" spans="25:32" ht="14.4" x14ac:dyDescent="0.3">
      <c r="Y168" s="1"/>
      <c r="AB168" s="1"/>
      <c r="AC168" s="1"/>
      <c r="AF168" s="1"/>
    </row>
    <row r="169" spans="25:32" ht="14.4" x14ac:dyDescent="0.3">
      <c r="Y169" s="1"/>
      <c r="AB169" s="1"/>
      <c r="AC169" s="1"/>
      <c r="AF169" s="1"/>
    </row>
    <row r="170" spans="25:32" ht="14.4" x14ac:dyDescent="0.3">
      <c r="Y170" s="1"/>
      <c r="AB170" s="1"/>
      <c r="AC170" s="1"/>
      <c r="AF170" s="1"/>
    </row>
    <row r="171" spans="25:32" ht="14.4" x14ac:dyDescent="0.3">
      <c r="Y171" s="1"/>
      <c r="AB171" s="1"/>
      <c r="AC171" s="1"/>
      <c r="AF171" s="1"/>
    </row>
    <row r="172" spans="25:32" ht="14.4" x14ac:dyDescent="0.3">
      <c r="Y172" s="1"/>
      <c r="AB172" s="1"/>
      <c r="AC172" s="1"/>
      <c r="AF172" s="1"/>
    </row>
    <row r="173" spans="25:32" ht="14.4" x14ac:dyDescent="0.3">
      <c r="Y173" s="1"/>
      <c r="AB173" s="1"/>
      <c r="AC173" s="1"/>
      <c r="AF173" s="1"/>
    </row>
    <row r="174" spans="25:32" ht="14.4" x14ac:dyDescent="0.3">
      <c r="Y174" s="1"/>
      <c r="AB174" s="1"/>
      <c r="AC174" s="1"/>
      <c r="AF174" s="1"/>
    </row>
    <row r="175" spans="25:32" ht="14.4" x14ac:dyDescent="0.3">
      <c r="Y175" s="1"/>
      <c r="AB175" s="1"/>
      <c r="AC175" s="1"/>
      <c r="AF175" s="1"/>
    </row>
    <row r="176" spans="25:32" ht="14.4" x14ac:dyDescent="0.3">
      <c r="Y176" s="1"/>
      <c r="AB176" s="1"/>
      <c r="AC176" s="1"/>
      <c r="AF176" s="1"/>
    </row>
    <row r="177" spans="25:32" ht="14.4" x14ac:dyDescent="0.3">
      <c r="Y177" s="1"/>
      <c r="AB177" s="1"/>
      <c r="AC177" s="1"/>
      <c r="AF177" s="1"/>
    </row>
    <row r="178" spans="25:32" ht="14.4" x14ac:dyDescent="0.3">
      <c r="Y178" s="1"/>
      <c r="AB178" s="1"/>
      <c r="AC178" s="1"/>
      <c r="AF178" s="1"/>
    </row>
    <row r="179" spans="25:32" ht="14.4" x14ac:dyDescent="0.3">
      <c r="Y179" s="1"/>
      <c r="AB179" s="1"/>
      <c r="AC179" s="1"/>
      <c r="AF179" s="1"/>
    </row>
    <row r="180" spans="25:32" ht="14.4" x14ac:dyDescent="0.3">
      <c r="Y180" s="1"/>
      <c r="AB180" s="1"/>
      <c r="AC180" s="1"/>
      <c r="AF180" s="1"/>
    </row>
    <row r="181" spans="25:32" ht="14.4" x14ac:dyDescent="0.3">
      <c r="Y181" s="1"/>
      <c r="AB181" s="1"/>
      <c r="AC181" s="1"/>
      <c r="AF181" s="1"/>
    </row>
    <row r="182" spans="25:32" ht="14.4" x14ac:dyDescent="0.3">
      <c r="Y182" s="1"/>
      <c r="AB182" s="1"/>
      <c r="AC182" s="1"/>
      <c r="AF182" s="1"/>
    </row>
    <row r="183" spans="25:32" ht="14.4" x14ac:dyDescent="0.3">
      <c r="Y183" s="1"/>
      <c r="AB183" s="1"/>
      <c r="AC183" s="1"/>
      <c r="AF183" s="1"/>
    </row>
    <row r="184" spans="25:32" ht="14.4" x14ac:dyDescent="0.3">
      <c r="Y184" s="1"/>
      <c r="AB184" s="1"/>
      <c r="AC184" s="1"/>
      <c r="AF184" s="1"/>
    </row>
    <row r="185" spans="25:32" ht="14.4" x14ac:dyDescent="0.3">
      <c r="Y185" s="1"/>
      <c r="AB185" s="1"/>
      <c r="AC185" s="1"/>
      <c r="AF185" s="1"/>
    </row>
    <row r="186" spans="25:32" ht="14.4" x14ac:dyDescent="0.3">
      <c r="Y186" s="1"/>
      <c r="AB186" s="1"/>
      <c r="AC186" s="1"/>
      <c r="AF186" s="1"/>
    </row>
    <row r="187" spans="25:32" ht="14.4" x14ac:dyDescent="0.3">
      <c r="Y187" s="1"/>
      <c r="AB187" s="1"/>
      <c r="AC187" s="1"/>
      <c r="AF187" s="1"/>
    </row>
    <row r="188" spans="25:32" ht="14.4" x14ac:dyDescent="0.3">
      <c r="Y188" s="1"/>
      <c r="AB188" s="1"/>
      <c r="AC188" s="1"/>
      <c r="AF188" s="1"/>
    </row>
    <row r="189" spans="25:32" ht="14.4" x14ac:dyDescent="0.3">
      <c r="Y189" s="1"/>
      <c r="AB189" s="1"/>
      <c r="AC189" s="1"/>
      <c r="AF189" s="1"/>
    </row>
    <row r="190" spans="25:32" ht="14.4" x14ac:dyDescent="0.3">
      <c r="Y190" s="1"/>
      <c r="AB190" s="1"/>
      <c r="AC190" s="1"/>
      <c r="AF190" s="1"/>
    </row>
    <row r="191" spans="25:32" ht="14.4" x14ac:dyDescent="0.3">
      <c r="Y191" s="1"/>
      <c r="AB191" s="1"/>
      <c r="AC191" s="1"/>
      <c r="AF191" s="1"/>
    </row>
    <row r="192" spans="25:32" ht="14.4" x14ac:dyDescent="0.3">
      <c r="Y192" s="1"/>
      <c r="AB192" s="1"/>
      <c r="AC192" s="1"/>
      <c r="AF192" s="1"/>
    </row>
    <row r="193" spans="25:32" ht="14.4" x14ac:dyDescent="0.3">
      <c r="Y193" s="1"/>
      <c r="AB193" s="1"/>
      <c r="AC193" s="1"/>
      <c r="AF193" s="1"/>
    </row>
    <row r="194" spans="25:32" ht="14.4" x14ac:dyDescent="0.3">
      <c r="Y194" s="1"/>
      <c r="AB194" s="1"/>
      <c r="AC194" s="1"/>
      <c r="AF194" s="1"/>
    </row>
    <row r="195" spans="25:32" ht="14.4" x14ac:dyDescent="0.3">
      <c r="Y195" s="1"/>
      <c r="AB195" s="1"/>
      <c r="AC195" s="1"/>
      <c r="AF195" s="1"/>
    </row>
    <row r="196" spans="25:32" ht="14.4" x14ac:dyDescent="0.3">
      <c r="Y196" s="1"/>
      <c r="AB196" s="1"/>
      <c r="AC196" s="1"/>
      <c r="AF196" s="1"/>
    </row>
    <row r="197" spans="25:32" ht="14.4" x14ac:dyDescent="0.3">
      <c r="Y197" s="1"/>
      <c r="AB197" s="1"/>
      <c r="AC197" s="1"/>
      <c r="AF197" s="1"/>
    </row>
    <row r="198" spans="25:32" ht="14.4" x14ac:dyDescent="0.3">
      <c r="Y198" s="1"/>
      <c r="AB198" s="1"/>
      <c r="AC198" s="1"/>
      <c r="AF198" s="1"/>
    </row>
    <row r="199" spans="25:32" ht="14.4" x14ac:dyDescent="0.3">
      <c r="Y199" s="1"/>
      <c r="AB199" s="1"/>
      <c r="AC199" s="1"/>
      <c r="AF199" s="1"/>
    </row>
    <row r="200" spans="25:32" ht="14.4" x14ac:dyDescent="0.3">
      <c r="Y200" s="1"/>
      <c r="AB200" s="1"/>
      <c r="AC200" s="1"/>
      <c r="AF200" s="1"/>
    </row>
    <row r="201" spans="25:32" ht="14.4" x14ac:dyDescent="0.3">
      <c r="Y201" s="1"/>
      <c r="AB201" s="1"/>
      <c r="AC201" s="1"/>
      <c r="AF201" s="1"/>
    </row>
    <row r="202" spans="25:32" ht="14.4" x14ac:dyDescent="0.3">
      <c r="Y202" s="1"/>
      <c r="AB202" s="1"/>
      <c r="AC202" s="1"/>
      <c r="AF202" s="1"/>
    </row>
    <row r="203" spans="25:32" ht="14.4" x14ac:dyDescent="0.3">
      <c r="Y203" s="1"/>
      <c r="AB203" s="1"/>
      <c r="AC203" s="1"/>
      <c r="AF203" s="1"/>
    </row>
    <row r="204" spans="25:32" ht="14.4" x14ac:dyDescent="0.3">
      <c r="Y204" s="1"/>
      <c r="AB204" s="1"/>
      <c r="AC204" s="1"/>
      <c r="AF204" s="1"/>
    </row>
    <row r="205" spans="25:32" ht="14.4" x14ac:dyDescent="0.3">
      <c r="Y205" s="1"/>
      <c r="AB205" s="1"/>
      <c r="AC205" s="1"/>
      <c r="AF205" s="1"/>
    </row>
    <row r="206" spans="25:32" ht="14.4" x14ac:dyDescent="0.3">
      <c r="Y206" s="1"/>
      <c r="AB206" s="1"/>
      <c r="AC206" s="1"/>
      <c r="AF206" s="1"/>
    </row>
    <row r="207" spans="25:32" ht="14.4" x14ac:dyDescent="0.3">
      <c r="Y207" s="1"/>
      <c r="AB207" s="1"/>
      <c r="AC207" s="1"/>
      <c r="AF207" s="1"/>
    </row>
    <row r="208" spans="25:32" ht="14.4" x14ac:dyDescent="0.3">
      <c r="Y208" s="1"/>
      <c r="AB208" s="1"/>
      <c r="AC208" s="1"/>
      <c r="AF208" s="1"/>
    </row>
    <row r="209" spans="25:32" ht="14.4" x14ac:dyDescent="0.3">
      <c r="Y209" s="1"/>
      <c r="AB209" s="1"/>
      <c r="AC209" s="1"/>
      <c r="AF209" s="1"/>
    </row>
    <row r="210" spans="25:32" ht="14.4" x14ac:dyDescent="0.3">
      <c r="Y210" s="1"/>
      <c r="AB210" s="1"/>
      <c r="AC210" s="1"/>
      <c r="AF210" s="1"/>
    </row>
    <row r="211" spans="25:32" ht="14.4" x14ac:dyDescent="0.3">
      <c r="Y211" s="1"/>
      <c r="AB211" s="1"/>
      <c r="AC211" s="1"/>
      <c r="AF211" s="1"/>
    </row>
    <row r="212" spans="25:32" ht="14.4" x14ac:dyDescent="0.3">
      <c r="Y212" s="1"/>
      <c r="AB212" s="1"/>
      <c r="AC212" s="1"/>
      <c r="AF212" s="1"/>
    </row>
    <row r="213" spans="25:32" ht="14.4" x14ac:dyDescent="0.3">
      <c r="Y213" s="1"/>
      <c r="AB213" s="1"/>
      <c r="AC213" s="1"/>
      <c r="AF213" s="1"/>
    </row>
    <row r="214" spans="25:32" ht="14.4" x14ac:dyDescent="0.3">
      <c r="Y214" s="1"/>
      <c r="AB214" s="1"/>
      <c r="AC214" s="1"/>
      <c r="AF214" s="1"/>
    </row>
    <row r="215" spans="25:32" ht="14.4" x14ac:dyDescent="0.3">
      <c r="Y215" s="1"/>
      <c r="AB215" s="1"/>
      <c r="AC215" s="1"/>
      <c r="AF215" s="1"/>
    </row>
    <row r="216" spans="25:32" ht="14.4" x14ac:dyDescent="0.3">
      <c r="Y216" s="1"/>
      <c r="AB216" s="1"/>
      <c r="AC216" s="1"/>
      <c r="AF216" s="1"/>
    </row>
    <row r="217" spans="25:32" ht="14.4" x14ac:dyDescent="0.3">
      <c r="Y217" s="1"/>
      <c r="AB217" s="1"/>
      <c r="AC217" s="1"/>
      <c r="AF217" s="1"/>
    </row>
    <row r="218" spans="25:32" ht="14.4" x14ac:dyDescent="0.3">
      <c r="Y218" s="1"/>
      <c r="AB218" s="1"/>
      <c r="AC218" s="1"/>
      <c r="AF218" s="1"/>
    </row>
    <row r="219" spans="25:32" ht="14.4" x14ac:dyDescent="0.3">
      <c r="Y219" s="1"/>
      <c r="AB219" s="1"/>
      <c r="AC219" s="1"/>
      <c r="AF219" s="1"/>
    </row>
    <row r="220" spans="25:32" ht="14.4" x14ac:dyDescent="0.3">
      <c r="Y220" s="1"/>
      <c r="AB220" s="1"/>
      <c r="AC220" s="1"/>
      <c r="AF220" s="1"/>
    </row>
    <row r="221" spans="25:32" ht="14.4" x14ac:dyDescent="0.3">
      <c r="Y221" s="1"/>
      <c r="AB221" s="1"/>
      <c r="AC221" s="1"/>
      <c r="AF221" s="1"/>
    </row>
    <row r="222" spans="25:32" ht="14.4" x14ac:dyDescent="0.3">
      <c r="Y222" s="1"/>
      <c r="AB222" s="1"/>
      <c r="AC222" s="1"/>
      <c r="AF222" s="1"/>
    </row>
    <row r="223" spans="25:32" ht="14.4" x14ac:dyDescent="0.3">
      <c r="Y223" s="1"/>
      <c r="AB223" s="1"/>
      <c r="AC223" s="1"/>
      <c r="AF223" s="1"/>
    </row>
    <row r="224" spans="25:32" ht="14.4" x14ac:dyDescent="0.3">
      <c r="Y224" s="1"/>
      <c r="AB224" s="1"/>
      <c r="AC224" s="1"/>
      <c r="AF224" s="1"/>
    </row>
    <row r="225" spans="25:32" ht="14.4" x14ac:dyDescent="0.3">
      <c r="Y225" s="1"/>
      <c r="AB225" s="1"/>
      <c r="AC225" s="1"/>
      <c r="AF225" s="1"/>
    </row>
    <row r="226" spans="25:32" ht="14.4" x14ac:dyDescent="0.3">
      <c r="Y226" s="1"/>
      <c r="AB226" s="1"/>
      <c r="AC226" s="1"/>
      <c r="AF226" s="1"/>
    </row>
    <row r="227" spans="25:32" ht="14.4" x14ac:dyDescent="0.3">
      <c r="Y227" s="1"/>
      <c r="AB227" s="1"/>
      <c r="AC227" s="1"/>
      <c r="AF227" s="1"/>
    </row>
    <row r="228" spans="25:32" ht="14.4" x14ac:dyDescent="0.3">
      <c r="Y228" s="1"/>
      <c r="AB228" s="1"/>
      <c r="AC228" s="1"/>
      <c r="AF228" s="1"/>
    </row>
    <row r="229" spans="25:32" ht="14.4" x14ac:dyDescent="0.3">
      <c r="Y229" s="1"/>
      <c r="AB229" s="1"/>
      <c r="AC229" s="1"/>
      <c r="AF229" s="1"/>
    </row>
    <row r="230" spans="25:32" ht="14.4" x14ac:dyDescent="0.3">
      <c r="Y230" s="1"/>
      <c r="AB230" s="1"/>
      <c r="AC230" s="1"/>
      <c r="AF230" s="1"/>
    </row>
    <row r="231" spans="25:32" ht="14.4" x14ac:dyDescent="0.3">
      <c r="Y231" s="1"/>
      <c r="AB231" s="1"/>
      <c r="AC231" s="1"/>
      <c r="AF231" s="1"/>
    </row>
    <row r="232" spans="25:32" ht="14.4" x14ac:dyDescent="0.3">
      <c r="Y232" s="1"/>
      <c r="AB232" s="1"/>
      <c r="AC232" s="1"/>
      <c r="AF232" s="1"/>
    </row>
    <row r="233" spans="25:32" ht="14.4" x14ac:dyDescent="0.3">
      <c r="Y233" s="1"/>
      <c r="AB233" s="1"/>
      <c r="AC233" s="1"/>
      <c r="AF233" s="1"/>
    </row>
    <row r="234" spans="25:32" ht="14.4" x14ac:dyDescent="0.3">
      <c r="Y234" s="1"/>
      <c r="AB234" s="1"/>
      <c r="AC234" s="1"/>
      <c r="AF234" s="1"/>
    </row>
    <row r="235" spans="25:32" ht="14.4" x14ac:dyDescent="0.3">
      <c r="Y235" s="1"/>
      <c r="AB235" s="1"/>
      <c r="AC235" s="1"/>
      <c r="AF235" s="1"/>
    </row>
    <row r="236" spans="25:32" ht="14.4" x14ac:dyDescent="0.3">
      <c r="Y236" s="1"/>
      <c r="AB236" s="1"/>
      <c r="AC236" s="1"/>
      <c r="AF236" s="1"/>
    </row>
    <row r="237" spans="25:32" ht="14.4" x14ac:dyDescent="0.3">
      <c r="Y237" s="1"/>
      <c r="AB237" s="1"/>
      <c r="AC237" s="1"/>
      <c r="AF237" s="1"/>
    </row>
    <row r="238" spans="25:32" ht="14.4" x14ac:dyDescent="0.3">
      <c r="Y238" s="1"/>
      <c r="AB238" s="1"/>
      <c r="AC238" s="1"/>
      <c r="AF238" s="1"/>
    </row>
    <row r="239" spans="25:32" ht="14.4" x14ac:dyDescent="0.3">
      <c r="Y239" s="1"/>
      <c r="AB239" s="1"/>
      <c r="AC239" s="1"/>
      <c r="AF239" s="1"/>
    </row>
    <row r="240" spans="25:32" ht="14.4" x14ac:dyDescent="0.3">
      <c r="Y240" s="1"/>
      <c r="AB240" s="1"/>
      <c r="AC240" s="1"/>
      <c r="AF240" s="1"/>
    </row>
    <row r="241" spans="25:32" ht="14.4" x14ac:dyDescent="0.3">
      <c r="Y241" s="1"/>
      <c r="AB241" s="1"/>
      <c r="AC241" s="1"/>
      <c r="AF241" s="1"/>
    </row>
    <row r="242" spans="25:32" ht="14.4" x14ac:dyDescent="0.3">
      <c r="Y242" s="1"/>
      <c r="AB242" s="1"/>
      <c r="AC242" s="1"/>
      <c r="AF242" s="1"/>
    </row>
    <row r="243" spans="25:32" ht="14.4" x14ac:dyDescent="0.3">
      <c r="Y243" s="1"/>
      <c r="AB243" s="1"/>
      <c r="AC243" s="1"/>
      <c r="AF243" s="1"/>
    </row>
    <row r="244" spans="25:32" ht="14.4" x14ac:dyDescent="0.3">
      <c r="Y244" s="1"/>
      <c r="AB244" s="1"/>
      <c r="AC244" s="1"/>
      <c r="AF244" s="1"/>
    </row>
    <row r="245" spans="25:32" ht="14.4" x14ac:dyDescent="0.3">
      <c r="Y245" s="1"/>
      <c r="AB245" s="1"/>
      <c r="AC245" s="1"/>
      <c r="AF245" s="1"/>
    </row>
    <row r="246" spans="25:32" ht="14.4" x14ac:dyDescent="0.3">
      <c r="Y246" s="1"/>
      <c r="AB246" s="1"/>
      <c r="AC246" s="1"/>
      <c r="AF246" s="1"/>
    </row>
    <row r="247" spans="25:32" ht="14.4" x14ac:dyDescent="0.3">
      <c r="Y247" s="1"/>
      <c r="AB247" s="1"/>
      <c r="AC247" s="1"/>
      <c r="AF247" s="1"/>
    </row>
    <row r="248" spans="25:32" ht="14.4" x14ac:dyDescent="0.3">
      <c r="Y248" s="1"/>
      <c r="AB248" s="1"/>
      <c r="AC248" s="1"/>
      <c r="AF248" s="1"/>
    </row>
    <row r="249" spans="25:32" ht="14.4" x14ac:dyDescent="0.3">
      <c r="Y249" s="1"/>
      <c r="AB249" s="1"/>
      <c r="AC249" s="1"/>
      <c r="AF249" s="1"/>
    </row>
    <row r="250" spans="25:32" ht="14.4" x14ac:dyDescent="0.3">
      <c r="Y250" s="1"/>
      <c r="AB250" s="1"/>
      <c r="AC250" s="1"/>
      <c r="AF250" s="1"/>
    </row>
    <row r="251" spans="25:32" ht="14.4" x14ac:dyDescent="0.3">
      <c r="Y251" s="1"/>
      <c r="AB251" s="1"/>
      <c r="AC251" s="1"/>
      <c r="AF251" s="1"/>
    </row>
    <row r="252" spans="25:32" ht="14.4" x14ac:dyDescent="0.3">
      <c r="Y252" s="1"/>
      <c r="AB252" s="1"/>
      <c r="AC252" s="1"/>
      <c r="AF252" s="1"/>
    </row>
    <row r="253" spans="25:32" ht="14.4" x14ac:dyDescent="0.3">
      <c r="Y253" s="1"/>
      <c r="AB253" s="1"/>
      <c r="AC253" s="1"/>
      <c r="AF253" s="1"/>
    </row>
    <row r="254" spans="25:32" ht="14.4" x14ac:dyDescent="0.3">
      <c r="Y254" s="1"/>
      <c r="AB254" s="1"/>
      <c r="AC254" s="1"/>
      <c r="AF254" s="1"/>
    </row>
    <row r="255" spans="25:32" ht="14.4" x14ac:dyDescent="0.3">
      <c r="Y255" s="1"/>
      <c r="AB255" s="1"/>
      <c r="AC255" s="1"/>
      <c r="AF255" s="1"/>
    </row>
    <row r="256" spans="25:32" ht="14.4" x14ac:dyDescent="0.3">
      <c r="Y256" s="1"/>
      <c r="AB256" s="1"/>
      <c r="AC256" s="1"/>
      <c r="AF256" s="1"/>
    </row>
    <row r="257" spans="25:32" ht="14.4" x14ac:dyDescent="0.3">
      <c r="Y257" s="1"/>
      <c r="AB257" s="1"/>
      <c r="AC257" s="1"/>
      <c r="AF257" s="1"/>
    </row>
    <row r="258" spans="25:32" ht="14.4" x14ac:dyDescent="0.3">
      <c r="Y258" s="1"/>
      <c r="AB258" s="1"/>
      <c r="AC258" s="1"/>
      <c r="AF258" s="1"/>
    </row>
    <row r="259" spans="25:32" ht="14.4" x14ac:dyDescent="0.3">
      <c r="Y259" s="1"/>
      <c r="AB259" s="1"/>
      <c r="AC259" s="1"/>
      <c r="AF259" s="1"/>
    </row>
    <row r="260" spans="25:32" ht="14.4" x14ac:dyDescent="0.3">
      <c r="Y260" s="1"/>
      <c r="AB260" s="1"/>
      <c r="AC260" s="1"/>
      <c r="AF260" s="1"/>
    </row>
    <row r="261" spans="25:32" ht="14.4" x14ac:dyDescent="0.3">
      <c r="Y261" s="1"/>
      <c r="AB261" s="1"/>
      <c r="AC261" s="1"/>
      <c r="AF261" s="1"/>
    </row>
    <row r="262" spans="25:32" ht="14.4" x14ac:dyDescent="0.3">
      <c r="Y262" s="1"/>
      <c r="AB262" s="1"/>
      <c r="AC262" s="1"/>
      <c r="AF262" s="1"/>
    </row>
    <row r="263" spans="25:32" ht="14.4" x14ac:dyDescent="0.3">
      <c r="Y263" s="1"/>
      <c r="AB263" s="1"/>
      <c r="AC263" s="1"/>
      <c r="AF263" s="1"/>
    </row>
    <row r="264" spans="25:32" ht="14.4" x14ac:dyDescent="0.3">
      <c r="Y264" s="1"/>
      <c r="AB264" s="1"/>
      <c r="AC264" s="1"/>
      <c r="AF264" s="1"/>
    </row>
    <row r="265" spans="25:32" ht="14.4" x14ac:dyDescent="0.3">
      <c r="Y265" s="1"/>
      <c r="AB265" s="1"/>
      <c r="AC265" s="1"/>
      <c r="AF265" s="1"/>
    </row>
    <row r="266" spans="25:32" ht="14.4" x14ac:dyDescent="0.3">
      <c r="Y266" s="1"/>
      <c r="AB266" s="1"/>
      <c r="AC266" s="1"/>
      <c r="AF266" s="1"/>
    </row>
    <row r="267" spans="25:32" ht="14.4" x14ac:dyDescent="0.3">
      <c r="Y267" s="1"/>
      <c r="AB267" s="1"/>
      <c r="AC267" s="1"/>
      <c r="AF267" s="1"/>
    </row>
    <row r="268" spans="25:32" ht="14.4" x14ac:dyDescent="0.3">
      <c r="Y268" s="1"/>
      <c r="AB268" s="1"/>
      <c r="AC268" s="1"/>
      <c r="AF268" s="1"/>
    </row>
    <row r="269" spans="25:32" ht="14.4" x14ac:dyDescent="0.3">
      <c r="Y269" s="1"/>
      <c r="AB269" s="1"/>
      <c r="AC269" s="1"/>
      <c r="AF269" s="1"/>
    </row>
    <row r="270" spans="25:32" ht="14.4" x14ac:dyDescent="0.3">
      <c r="Y270" s="1"/>
      <c r="AB270" s="1"/>
      <c r="AC270" s="1"/>
      <c r="AF270" s="1"/>
    </row>
    <row r="271" spans="25:32" ht="14.4" x14ac:dyDescent="0.3">
      <c r="Y271" s="1"/>
      <c r="AB271" s="1"/>
      <c r="AC271" s="1"/>
      <c r="AF271" s="1"/>
    </row>
    <row r="272" spans="25:32" ht="14.4" x14ac:dyDescent="0.3">
      <c r="Y272" s="1"/>
      <c r="AB272" s="1"/>
      <c r="AC272" s="1"/>
      <c r="AF272" s="1"/>
    </row>
    <row r="273" spans="25:32" ht="14.4" x14ac:dyDescent="0.3">
      <c r="Y273" s="1"/>
      <c r="AB273" s="1"/>
      <c r="AC273" s="1"/>
      <c r="AF273" s="1"/>
    </row>
    <row r="274" spans="25:32" ht="14.4" x14ac:dyDescent="0.3">
      <c r="Y274" s="1"/>
      <c r="AB274" s="1"/>
      <c r="AC274" s="1"/>
      <c r="AF274" s="1"/>
    </row>
    <row r="275" spans="25:32" ht="14.4" x14ac:dyDescent="0.3">
      <c r="Y275" s="1"/>
      <c r="AB275" s="1"/>
      <c r="AC275" s="1"/>
      <c r="AF275" s="1"/>
    </row>
    <row r="276" spans="25:32" ht="14.4" x14ac:dyDescent="0.3">
      <c r="Y276" s="1"/>
      <c r="AB276" s="1"/>
      <c r="AC276" s="1"/>
      <c r="AF276" s="1"/>
    </row>
    <row r="277" spans="25:32" ht="14.4" x14ac:dyDescent="0.3">
      <c r="Y277" s="1"/>
      <c r="AB277" s="1"/>
      <c r="AC277" s="1"/>
      <c r="AF277" s="1"/>
    </row>
    <row r="278" spans="25:32" ht="14.4" x14ac:dyDescent="0.3">
      <c r="Y278" s="1"/>
      <c r="AB278" s="1"/>
      <c r="AC278" s="1"/>
      <c r="AF278" s="1"/>
    </row>
    <row r="279" spans="25:32" ht="14.4" x14ac:dyDescent="0.3">
      <c r="Y279" s="1"/>
      <c r="AB279" s="1"/>
      <c r="AC279" s="1"/>
      <c r="AF279" s="1"/>
    </row>
    <row r="280" spans="25:32" ht="14.4" x14ac:dyDescent="0.3">
      <c r="Y280" s="1"/>
      <c r="AB280" s="1"/>
      <c r="AC280" s="1"/>
      <c r="AF280" s="1"/>
    </row>
    <row r="281" spans="25:32" ht="14.4" x14ac:dyDescent="0.3">
      <c r="Y281" s="1"/>
      <c r="AB281" s="1"/>
      <c r="AC281" s="1"/>
      <c r="AF281" s="1"/>
    </row>
    <row r="282" spans="25:32" ht="14.4" x14ac:dyDescent="0.3">
      <c r="Y282" s="1"/>
      <c r="AB282" s="1"/>
      <c r="AC282" s="1"/>
      <c r="AF282" s="1"/>
    </row>
    <row r="283" spans="25:32" ht="14.4" x14ac:dyDescent="0.3">
      <c r="Y283" s="1"/>
      <c r="AB283" s="1"/>
      <c r="AC283" s="1"/>
      <c r="AF283" s="1"/>
    </row>
    <row r="284" spans="25:32" ht="14.4" x14ac:dyDescent="0.3">
      <c r="Y284" s="1"/>
      <c r="AB284" s="1"/>
      <c r="AC284" s="1"/>
      <c r="AF284" s="1"/>
    </row>
    <row r="285" spans="25:32" ht="14.4" x14ac:dyDescent="0.3">
      <c r="Y285" s="1"/>
      <c r="AB285" s="1"/>
      <c r="AC285" s="1"/>
      <c r="AF285" s="1"/>
    </row>
    <row r="286" spans="25:32" ht="14.4" x14ac:dyDescent="0.3">
      <c r="Y286" s="1"/>
      <c r="AB286" s="1"/>
      <c r="AC286" s="1"/>
      <c r="AF286" s="1"/>
    </row>
    <row r="287" spans="25:32" ht="14.4" x14ac:dyDescent="0.3">
      <c r="Y287" s="1"/>
      <c r="AB287" s="1"/>
      <c r="AC287" s="1"/>
      <c r="AF287" s="1"/>
    </row>
    <row r="288" spans="25:32" ht="14.4" x14ac:dyDescent="0.3">
      <c r="Y288" s="1"/>
      <c r="AB288" s="1"/>
      <c r="AC288" s="1"/>
      <c r="AF288" s="1"/>
    </row>
    <row r="289" spans="25:32" ht="14.4" x14ac:dyDescent="0.3">
      <c r="Y289" s="1"/>
      <c r="AB289" s="1"/>
      <c r="AC289" s="1"/>
      <c r="AF289" s="1"/>
    </row>
    <row r="290" spans="25:32" ht="14.4" x14ac:dyDescent="0.3">
      <c r="Y290" s="1"/>
      <c r="AB290" s="1"/>
      <c r="AC290" s="1"/>
      <c r="AF290" s="1"/>
    </row>
    <row r="291" spans="25:32" ht="14.4" x14ac:dyDescent="0.3">
      <c r="Y291" s="1"/>
      <c r="AB291" s="1"/>
      <c r="AC291" s="1"/>
      <c r="AF291" s="1"/>
    </row>
    <row r="292" spans="25:32" ht="14.4" x14ac:dyDescent="0.3">
      <c r="Y292" s="1"/>
      <c r="AB292" s="1"/>
      <c r="AC292" s="1"/>
      <c r="AF292" s="1"/>
    </row>
    <row r="293" spans="25:32" ht="14.4" x14ac:dyDescent="0.3">
      <c r="Y293" s="1"/>
      <c r="AB293" s="1"/>
      <c r="AC293" s="1"/>
      <c r="AF293" s="1"/>
    </row>
    <row r="294" spans="25:32" ht="14.4" x14ac:dyDescent="0.3">
      <c r="Y294" s="1"/>
      <c r="AB294" s="1"/>
      <c r="AC294" s="1"/>
      <c r="AF294" s="1"/>
    </row>
    <row r="295" spans="25:32" ht="14.4" x14ac:dyDescent="0.3">
      <c r="Y295" s="1"/>
      <c r="AB295" s="1"/>
      <c r="AC295" s="1"/>
      <c r="AF295" s="1"/>
    </row>
    <row r="296" spans="25:32" ht="14.4" x14ac:dyDescent="0.3">
      <c r="Y296" s="1"/>
      <c r="AB296" s="1"/>
      <c r="AC296" s="1"/>
      <c r="AF296" s="1"/>
    </row>
    <row r="297" spans="25:32" ht="14.4" x14ac:dyDescent="0.3">
      <c r="Y297" s="1"/>
      <c r="AB297" s="1"/>
      <c r="AC297" s="1"/>
      <c r="AF297" s="1"/>
    </row>
    <row r="298" spans="25:32" ht="14.4" x14ac:dyDescent="0.3">
      <c r="Y298" s="1"/>
      <c r="AB298" s="1"/>
      <c r="AC298" s="1"/>
      <c r="AF298" s="1"/>
    </row>
    <row r="299" spans="25:32" ht="14.4" x14ac:dyDescent="0.3">
      <c r="Y299" s="1"/>
      <c r="AB299" s="1"/>
      <c r="AC299" s="1"/>
      <c r="AF299" s="1"/>
    </row>
    <row r="300" spans="25:32" ht="14.4" x14ac:dyDescent="0.3">
      <c r="Y300" s="1"/>
      <c r="AB300" s="1"/>
      <c r="AC300" s="1"/>
      <c r="AF300" s="1"/>
    </row>
    <row r="301" spans="25:32" ht="14.4" x14ac:dyDescent="0.3">
      <c r="Y301" s="1"/>
      <c r="AB301" s="1"/>
      <c r="AC301" s="1"/>
      <c r="AF301" s="1"/>
    </row>
    <row r="302" spans="25:32" ht="14.4" x14ac:dyDescent="0.3">
      <c r="Y302" s="1"/>
      <c r="AB302" s="1"/>
      <c r="AC302" s="1"/>
      <c r="AF302" s="1"/>
    </row>
    <row r="303" spans="25:32" ht="14.4" x14ac:dyDescent="0.3">
      <c r="Y303" s="1"/>
      <c r="AB303" s="1"/>
      <c r="AC303" s="1"/>
      <c r="AF303" s="1"/>
    </row>
    <row r="304" spans="25:32" ht="14.4" x14ac:dyDescent="0.3">
      <c r="Y304" s="1"/>
      <c r="AB304" s="1"/>
      <c r="AC304" s="1"/>
      <c r="AF304" s="1"/>
    </row>
    <row r="305" spans="25:32" ht="14.4" x14ac:dyDescent="0.3">
      <c r="Y305" s="1"/>
      <c r="AB305" s="1"/>
      <c r="AC305" s="1"/>
      <c r="AF305" s="1"/>
    </row>
    <row r="306" spans="25:32" ht="14.4" x14ac:dyDescent="0.3">
      <c r="Y306" s="1"/>
      <c r="AB306" s="1"/>
      <c r="AC306" s="1"/>
      <c r="AF306" s="1"/>
    </row>
    <row r="307" spans="25:32" ht="14.4" x14ac:dyDescent="0.3">
      <c r="Y307" s="1"/>
      <c r="AB307" s="1"/>
      <c r="AC307" s="1"/>
      <c r="AF307" s="1"/>
    </row>
    <row r="308" spans="25:32" ht="14.4" x14ac:dyDescent="0.3">
      <c r="Y308" s="1"/>
      <c r="AB308" s="1"/>
      <c r="AC308" s="1"/>
      <c r="AF308" s="1"/>
    </row>
    <row r="309" spans="25:32" ht="14.4" x14ac:dyDescent="0.3">
      <c r="Y309" s="1"/>
      <c r="AB309" s="1"/>
      <c r="AC309" s="1"/>
      <c r="AF309" s="1"/>
    </row>
    <row r="310" spans="25:32" ht="14.4" x14ac:dyDescent="0.3">
      <c r="Y310" s="1"/>
      <c r="AB310" s="1"/>
      <c r="AC310" s="1"/>
      <c r="AF310" s="1"/>
    </row>
    <row r="311" spans="25:32" ht="14.4" x14ac:dyDescent="0.3">
      <c r="Y311" s="1"/>
      <c r="AB311" s="1"/>
      <c r="AC311" s="1"/>
      <c r="AF311" s="1"/>
    </row>
    <row r="312" spans="25:32" ht="14.4" x14ac:dyDescent="0.3">
      <c r="Y312" s="1"/>
      <c r="AB312" s="1"/>
      <c r="AC312" s="1"/>
      <c r="AF312" s="1"/>
    </row>
    <row r="313" spans="25:32" ht="14.4" x14ac:dyDescent="0.3">
      <c r="Y313" s="1"/>
      <c r="AB313" s="1"/>
      <c r="AC313" s="1"/>
      <c r="AF313" s="1"/>
    </row>
    <row r="314" spans="25:32" ht="14.4" x14ac:dyDescent="0.3">
      <c r="Y314" s="1"/>
      <c r="AB314" s="1"/>
      <c r="AC314" s="1"/>
      <c r="AF314" s="1"/>
    </row>
    <row r="315" spans="25:32" ht="14.4" x14ac:dyDescent="0.3">
      <c r="Y315" s="1"/>
      <c r="AB315" s="1"/>
      <c r="AC315" s="1"/>
      <c r="AF315" s="1"/>
    </row>
    <row r="316" spans="25:32" ht="14.4" x14ac:dyDescent="0.3">
      <c r="Y316" s="1"/>
      <c r="AB316" s="1"/>
      <c r="AC316" s="1"/>
      <c r="AF316" s="1"/>
    </row>
    <row r="317" spans="25:32" ht="14.4" x14ac:dyDescent="0.3">
      <c r="Y317" s="1"/>
      <c r="AB317" s="1"/>
      <c r="AC317" s="1"/>
      <c r="AF317" s="1"/>
    </row>
    <row r="318" spans="25:32" ht="14.4" x14ac:dyDescent="0.3">
      <c r="Y318" s="1"/>
      <c r="AB318" s="1"/>
      <c r="AC318" s="1"/>
      <c r="AF318" s="1"/>
    </row>
    <row r="319" spans="25:32" ht="14.4" x14ac:dyDescent="0.3">
      <c r="Y319" s="1"/>
      <c r="AB319" s="1"/>
      <c r="AC319" s="1"/>
      <c r="AF319" s="1"/>
    </row>
    <row r="320" spans="25:32" ht="14.4" x14ac:dyDescent="0.3">
      <c r="Y320" s="1"/>
      <c r="AB320" s="1"/>
      <c r="AC320" s="1"/>
      <c r="AF320" s="1"/>
    </row>
    <row r="321" spans="25:32" ht="14.4" x14ac:dyDescent="0.3">
      <c r="Y321" s="1"/>
      <c r="AB321" s="1"/>
      <c r="AC321" s="1"/>
      <c r="AF321" s="1"/>
    </row>
    <row r="322" spans="25:32" ht="14.4" x14ac:dyDescent="0.3">
      <c r="Y322" s="1"/>
      <c r="AB322" s="1"/>
      <c r="AC322" s="1"/>
      <c r="AF322" s="1"/>
    </row>
    <row r="323" spans="25:32" ht="14.4" x14ac:dyDescent="0.3">
      <c r="Y323" s="1"/>
      <c r="AB323" s="1"/>
      <c r="AC323" s="1"/>
      <c r="AF323" s="1"/>
    </row>
    <row r="324" spans="25:32" ht="14.4" x14ac:dyDescent="0.3">
      <c r="Y324" s="1"/>
      <c r="AB324" s="1"/>
      <c r="AC324" s="1"/>
      <c r="AF324" s="1"/>
    </row>
    <row r="325" spans="25:32" ht="14.4" x14ac:dyDescent="0.3">
      <c r="Y325" s="1"/>
      <c r="AB325" s="1"/>
      <c r="AC325" s="1"/>
      <c r="AF325" s="1"/>
    </row>
    <row r="326" spans="25:32" ht="14.4" x14ac:dyDescent="0.3">
      <c r="Y326" s="1"/>
      <c r="AB326" s="1"/>
      <c r="AC326" s="1"/>
      <c r="AF326" s="1"/>
    </row>
    <row r="327" spans="25:32" ht="14.4" x14ac:dyDescent="0.3">
      <c r="Y327" s="1"/>
      <c r="AB327" s="1"/>
      <c r="AC327" s="1"/>
      <c r="AF327" s="1"/>
    </row>
    <row r="328" spans="25:32" ht="14.4" x14ac:dyDescent="0.3">
      <c r="Y328" s="1"/>
      <c r="AB328" s="1"/>
      <c r="AC328" s="1"/>
      <c r="AF328" s="1"/>
    </row>
    <row r="329" spans="25:32" ht="14.4" x14ac:dyDescent="0.3">
      <c r="Y329" s="1"/>
      <c r="AB329" s="1"/>
      <c r="AC329" s="1"/>
      <c r="AF329" s="1"/>
    </row>
    <row r="330" spans="25:32" ht="14.4" x14ac:dyDescent="0.3">
      <c r="Y330" s="1"/>
      <c r="AB330" s="1"/>
      <c r="AC330" s="1"/>
      <c r="AF330" s="1"/>
    </row>
    <row r="331" spans="25:32" ht="14.4" x14ac:dyDescent="0.3">
      <c r="Y331" s="1"/>
      <c r="AB331" s="1"/>
      <c r="AC331" s="1"/>
      <c r="AF331" s="1"/>
    </row>
    <row r="332" spans="25:32" ht="14.4" x14ac:dyDescent="0.3">
      <c r="Y332" s="1"/>
      <c r="AB332" s="1"/>
      <c r="AC332" s="1"/>
      <c r="AF332" s="1"/>
    </row>
    <row r="333" spans="25:32" ht="14.4" x14ac:dyDescent="0.3">
      <c r="Y333" s="1"/>
      <c r="AB333" s="1"/>
      <c r="AC333" s="1"/>
      <c r="AF333" s="1"/>
    </row>
    <row r="334" spans="25:32" ht="14.4" x14ac:dyDescent="0.3">
      <c r="Y334" s="1"/>
      <c r="AB334" s="1"/>
      <c r="AC334" s="1"/>
      <c r="AF334" s="1"/>
    </row>
    <row r="335" spans="25:32" ht="14.4" x14ac:dyDescent="0.3">
      <c r="Y335" s="1"/>
      <c r="AB335" s="1"/>
      <c r="AC335" s="1"/>
      <c r="AF335" s="1"/>
    </row>
    <row r="336" spans="25:32" ht="14.4" x14ac:dyDescent="0.3">
      <c r="Y336" s="1"/>
      <c r="AB336" s="1"/>
      <c r="AC336" s="1"/>
      <c r="AF336" s="1"/>
    </row>
    <row r="337" spans="25:32" ht="14.4" x14ac:dyDescent="0.3">
      <c r="Y337" s="1"/>
      <c r="AB337" s="1"/>
      <c r="AC337" s="1"/>
      <c r="AF337" s="1"/>
    </row>
    <row r="338" spans="25:32" ht="14.4" x14ac:dyDescent="0.3">
      <c r="Y338" s="1"/>
      <c r="AB338" s="1"/>
      <c r="AC338" s="1"/>
      <c r="AF338" s="1"/>
    </row>
    <row r="339" spans="25:32" ht="14.4" x14ac:dyDescent="0.3">
      <c r="Y339" s="1"/>
      <c r="AB339" s="1"/>
      <c r="AC339" s="1"/>
      <c r="AF339" s="1"/>
    </row>
    <row r="340" spans="25:32" ht="14.4" x14ac:dyDescent="0.3">
      <c r="Y340" s="1"/>
      <c r="AB340" s="1"/>
      <c r="AC340" s="1"/>
      <c r="AF340" s="1"/>
    </row>
    <row r="341" spans="25:32" ht="14.4" x14ac:dyDescent="0.3">
      <c r="Y341" s="1"/>
      <c r="AB341" s="1"/>
      <c r="AC341" s="1"/>
      <c r="AF341" s="1"/>
    </row>
    <row r="342" spans="25:32" ht="14.4" x14ac:dyDescent="0.3">
      <c r="Y342" s="1"/>
      <c r="AB342" s="1"/>
      <c r="AC342" s="1"/>
      <c r="AF342" s="1"/>
    </row>
    <row r="343" spans="25:32" ht="14.4" x14ac:dyDescent="0.3">
      <c r="Y343" s="1"/>
      <c r="AB343" s="1"/>
      <c r="AC343" s="1"/>
      <c r="AF343" s="1"/>
    </row>
    <row r="344" spans="25:32" ht="14.4" x14ac:dyDescent="0.3">
      <c r="Y344" s="1"/>
      <c r="AB344" s="1"/>
      <c r="AC344" s="1"/>
      <c r="AF344" s="1"/>
    </row>
    <row r="345" spans="25:32" ht="14.4" x14ac:dyDescent="0.3">
      <c r="Y345" s="1"/>
      <c r="AB345" s="1"/>
      <c r="AC345" s="1"/>
      <c r="AF345" s="1"/>
    </row>
    <row r="346" spans="25:32" ht="14.4" x14ac:dyDescent="0.3">
      <c r="Y346" s="1"/>
      <c r="AB346" s="1"/>
      <c r="AC346" s="1"/>
      <c r="AF346" s="1"/>
    </row>
    <row r="347" spans="25:32" ht="14.4" x14ac:dyDescent="0.3">
      <c r="Y347" s="1"/>
      <c r="AB347" s="1"/>
      <c r="AC347" s="1"/>
      <c r="AF347" s="1"/>
    </row>
    <row r="348" spans="25:32" ht="14.4" x14ac:dyDescent="0.3">
      <c r="Y348" s="1"/>
      <c r="AB348" s="1"/>
      <c r="AC348" s="1"/>
      <c r="AF348" s="1"/>
    </row>
    <row r="349" spans="25:32" ht="14.4" x14ac:dyDescent="0.3">
      <c r="Y349" s="1"/>
      <c r="AB349" s="1"/>
      <c r="AC349" s="1"/>
      <c r="AF349" s="1"/>
    </row>
    <row r="350" spans="25:32" ht="14.4" x14ac:dyDescent="0.3">
      <c r="Y350" s="1"/>
      <c r="AB350" s="1"/>
      <c r="AC350" s="1"/>
      <c r="AF350" s="1"/>
    </row>
    <row r="351" spans="25:32" ht="14.4" x14ac:dyDescent="0.3">
      <c r="Y351" s="1"/>
      <c r="AB351" s="1"/>
      <c r="AC351" s="1"/>
      <c r="AF351" s="1"/>
    </row>
    <row r="352" spans="25:32" ht="14.4" x14ac:dyDescent="0.3">
      <c r="Y352" s="1"/>
      <c r="AB352" s="1"/>
      <c r="AC352" s="1"/>
      <c r="AF352" s="1"/>
    </row>
    <row r="353" spans="25:32" ht="14.4" x14ac:dyDescent="0.3">
      <c r="Y353" s="1"/>
      <c r="AB353" s="1"/>
      <c r="AC353" s="1"/>
      <c r="AF353" s="1"/>
    </row>
    <row r="354" spans="25:32" ht="14.4" x14ac:dyDescent="0.3">
      <c r="Y354" s="1"/>
      <c r="AB354" s="1"/>
      <c r="AC354" s="1"/>
      <c r="AF354" s="1"/>
    </row>
    <row r="355" spans="25:32" ht="14.4" x14ac:dyDescent="0.3">
      <c r="Y355" s="1"/>
      <c r="AB355" s="1"/>
      <c r="AC355" s="1"/>
      <c r="AF355" s="1"/>
    </row>
    <row r="356" spans="25:32" ht="14.4" x14ac:dyDescent="0.3">
      <c r="Y356" s="1"/>
      <c r="AB356" s="1"/>
      <c r="AC356" s="1"/>
      <c r="AF356" s="1"/>
    </row>
    <row r="357" spans="25:32" ht="14.4" x14ac:dyDescent="0.3">
      <c r="Y357" s="1"/>
      <c r="AB357" s="1"/>
      <c r="AC357" s="1"/>
      <c r="AF357" s="1"/>
    </row>
    <row r="358" spans="25:32" ht="14.4" x14ac:dyDescent="0.3">
      <c r="Y358" s="1"/>
      <c r="AB358" s="1"/>
      <c r="AC358" s="1"/>
      <c r="AF358" s="1"/>
    </row>
    <row r="359" spans="25:32" ht="14.4" x14ac:dyDescent="0.3">
      <c r="Y359" s="1"/>
      <c r="AB359" s="1"/>
      <c r="AC359" s="1"/>
      <c r="AF359" s="1"/>
    </row>
    <row r="360" spans="25:32" ht="14.4" x14ac:dyDescent="0.3">
      <c r="Y360" s="1"/>
      <c r="AB360" s="1"/>
      <c r="AC360" s="1"/>
      <c r="AF360" s="1"/>
    </row>
    <row r="361" spans="25:32" ht="14.4" x14ac:dyDescent="0.3">
      <c r="Y361" s="1"/>
      <c r="AB361" s="1"/>
      <c r="AC361" s="1"/>
      <c r="AF361" s="1"/>
    </row>
    <row r="362" spans="25:32" ht="14.4" x14ac:dyDescent="0.3">
      <c r="Y362" s="1"/>
      <c r="AB362" s="1"/>
      <c r="AC362" s="1"/>
      <c r="AF362" s="1"/>
    </row>
    <row r="363" spans="25:32" ht="14.4" x14ac:dyDescent="0.3">
      <c r="Y363" s="1"/>
      <c r="AB363" s="1"/>
      <c r="AC363" s="1"/>
      <c r="AF363" s="1"/>
    </row>
    <row r="364" spans="25:32" ht="14.4" x14ac:dyDescent="0.3">
      <c r="Y364" s="1"/>
      <c r="AB364" s="1"/>
      <c r="AC364" s="1"/>
      <c r="AF364" s="1"/>
    </row>
    <row r="365" spans="25:32" ht="14.4" x14ac:dyDescent="0.3">
      <c r="Y365" s="1"/>
      <c r="AB365" s="1"/>
      <c r="AC365" s="1"/>
      <c r="AF365" s="1"/>
    </row>
    <row r="366" spans="25:32" ht="14.4" x14ac:dyDescent="0.3">
      <c r="Y366" s="1"/>
      <c r="AB366" s="1"/>
      <c r="AC366" s="1"/>
      <c r="AF366" s="1"/>
    </row>
    <row r="367" spans="25:32" ht="14.4" x14ac:dyDescent="0.3">
      <c r="Y367" s="1"/>
      <c r="AB367" s="1"/>
      <c r="AC367" s="1"/>
      <c r="AF367" s="1"/>
    </row>
    <row r="368" spans="25:32" ht="14.4" x14ac:dyDescent="0.3">
      <c r="Y368" s="1"/>
      <c r="AB368" s="1"/>
      <c r="AC368" s="1"/>
      <c r="AF368" s="1"/>
    </row>
    <row r="369" spans="25:32" ht="14.4" x14ac:dyDescent="0.3">
      <c r="Y369" s="1"/>
      <c r="AB369" s="1"/>
      <c r="AC369" s="1"/>
      <c r="AF369" s="1"/>
    </row>
    <row r="370" spans="25:32" ht="14.4" x14ac:dyDescent="0.3">
      <c r="Y370" s="1"/>
      <c r="AB370" s="1"/>
      <c r="AC370" s="1"/>
      <c r="AF370" s="1"/>
    </row>
    <row r="371" spans="25:32" ht="14.4" x14ac:dyDescent="0.3">
      <c r="Y371" s="1"/>
      <c r="AB371" s="1"/>
      <c r="AC371" s="1"/>
      <c r="AF371" s="1"/>
    </row>
    <row r="372" spans="25:32" ht="14.4" x14ac:dyDescent="0.3">
      <c r="Y372" s="1"/>
      <c r="AB372" s="1"/>
      <c r="AC372" s="1"/>
      <c r="AF372" s="1"/>
    </row>
    <row r="373" spans="25:32" ht="14.4" x14ac:dyDescent="0.3">
      <c r="Y373" s="1"/>
      <c r="AB373" s="1"/>
      <c r="AC373" s="1"/>
      <c r="AF373" s="1"/>
    </row>
    <row r="374" spans="25:32" ht="14.4" x14ac:dyDescent="0.3">
      <c r="Y374" s="1"/>
      <c r="AB374" s="1"/>
      <c r="AC374" s="1"/>
      <c r="AF374" s="1"/>
    </row>
    <row r="375" spans="25:32" ht="14.4" x14ac:dyDescent="0.3">
      <c r="Y375" s="1"/>
      <c r="AB375" s="1"/>
      <c r="AC375" s="1"/>
      <c r="AF375" s="1"/>
    </row>
    <row r="376" spans="25:32" ht="14.4" x14ac:dyDescent="0.3">
      <c r="Y376" s="1"/>
      <c r="AB376" s="1"/>
      <c r="AC376" s="1"/>
      <c r="AF376" s="1"/>
    </row>
    <row r="377" spans="25:32" ht="14.4" x14ac:dyDescent="0.3">
      <c r="Y377" s="1"/>
      <c r="AB377" s="1"/>
      <c r="AC377" s="1"/>
      <c r="AF377" s="1"/>
    </row>
    <row r="378" spans="25:32" ht="14.4" x14ac:dyDescent="0.3">
      <c r="Y378" s="1"/>
      <c r="AB378" s="1"/>
      <c r="AC378" s="1"/>
      <c r="AF378" s="1"/>
    </row>
    <row r="379" spans="25:32" ht="14.4" x14ac:dyDescent="0.3">
      <c r="Y379" s="1"/>
      <c r="AB379" s="1"/>
      <c r="AC379" s="1"/>
      <c r="AF379" s="1"/>
    </row>
    <row r="380" spans="25:32" ht="14.4" x14ac:dyDescent="0.3">
      <c r="Y380" s="1"/>
      <c r="AB380" s="1"/>
      <c r="AC380" s="1"/>
      <c r="AF380" s="1"/>
    </row>
    <row r="381" spans="25:32" ht="14.4" x14ac:dyDescent="0.3">
      <c r="Y381" s="1"/>
      <c r="AB381" s="1"/>
      <c r="AC381" s="1"/>
      <c r="AF381" s="1"/>
    </row>
    <row r="382" spans="25:32" ht="14.4" x14ac:dyDescent="0.3">
      <c r="Y382" s="1"/>
      <c r="AB382" s="1"/>
      <c r="AC382" s="1"/>
      <c r="AF382" s="1"/>
    </row>
    <row r="383" spans="25:32" ht="14.4" x14ac:dyDescent="0.3">
      <c r="Y383" s="1"/>
      <c r="AB383" s="1"/>
      <c r="AC383" s="1"/>
      <c r="AF383" s="1"/>
    </row>
    <row r="384" spans="25:32" ht="14.4" x14ac:dyDescent="0.3">
      <c r="Y384" s="1"/>
      <c r="AB384" s="1"/>
      <c r="AC384" s="1"/>
      <c r="AF384" s="1"/>
    </row>
    <row r="385" spans="25:32" ht="14.4" x14ac:dyDescent="0.3">
      <c r="Y385" s="1"/>
      <c r="AB385" s="1"/>
      <c r="AC385" s="1"/>
      <c r="AF385" s="1"/>
    </row>
    <row r="386" spans="25:32" ht="14.4" x14ac:dyDescent="0.3">
      <c r="Y386" s="1"/>
      <c r="AB386" s="1"/>
      <c r="AC386" s="1"/>
      <c r="AF386" s="1"/>
    </row>
    <row r="387" spans="25:32" ht="14.4" x14ac:dyDescent="0.3">
      <c r="Y387" s="1"/>
      <c r="AB387" s="1"/>
      <c r="AC387" s="1"/>
      <c r="AF387" s="1"/>
    </row>
    <row r="388" spans="25:32" ht="14.4" x14ac:dyDescent="0.3">
      <c r="Y388" s="1"/>
      <c r="AB388" s="1"/>
      <c r="AC388" s="1"/>
      <c r="AF388" s="1"/>
    </row>
    <row r="389" spans="25:32" ht="14.4" x14ac:dyDescent="0.3">
      <c r="Y389" s="1"/>
      <c r="AB389" s="1"/>
      <c r="AC389" s="1"/>
      <c r="AF389" s="1"/>
    </row>
    <row r="390" spans="25:32" ht="14.4" x14ac:dyDescent="0.3">
      <c r="Y390" s="1"/>
      <c r="AB390" s="1"/>
      <c r="AC390" s="1"/>
      <c r="AF390" s="1"/>
    </row>
    <row r="391" spans="25:32" ht="14.4" x14ac:dyDescent="0.3">
      <c r="Y391" s="1"/>
      <c r="AB391" s="1"/>
      <c r="AC391" s="1"/>
      <c r="AF391" s="1"/>
    </row>
    <row r="392" spans="25:32" ht="14.4" x14ac:dyDescent="0.3">
      <c r="Y392" s="1"/>
      <c r="AB392" s="1"/>
      <c r="AC392" s="1"/>
      <c r="AF392" s="1"/>
    </row>
    <row r="393" spans="25:32" ht="14.4" x14ac:dyDescent="0.3">
      <c r="Y393" s="1"/>
      <c r="AB393" s="1"/>
      <c r="AC393" s="1"/>
      <c r="AF393" s="1"/>
    </row>
    <row r="394" spans="25:32" ht="14.4" x14ac:dyDescent="0.3">
      <c r="Y394" s="1"/>
      <c r="AB394" s="1"/>
      <c r="AC394" s="1"/>
      <c r="AF394" s="1"/>
    </row>
    <row r="395" spans="25:32" ht="14.4" x14ac:dyDescent="0.3">
      <c r="Y395" s="1"/>
      <c r="AB395" s="1"/>
      <c r="AC395" s="1"/>
      <c r="AF395" s="1"/>
    </row>
    <row r="396" spans="25:32" ht="14.4" x14ac:dyDescent="0.3">
      <c r="Y396" s="1"/>
      <c r="AB396" s="1"/>
      <c r="AC396" s="1"/>
      <c r="AF396" s="1"/>
    </row>
    <row r="397" spans="25:32" ht="14.4" x14ac:dyDescent="0.3">
      <c r="Y397" s="1"/>
      <c r="AB397" s="1"/>
      <c r="AC397" s="1"/>
      <c r="AF397" s="1"/>
    </row>
    <row r="398" spans="25:32" ht="14.4" x14ac:dyDescent="0.3">
      <c r="Y398" s="1"/>
      <c r="AB398" s="1"/>
      <c r="AC398" s="1"/>
      <c r="AF398" s="1"/>
    </row>
    <row r="399" spans="25:32" ht="14.4" x14ac:dyDescent="0.3">
      <c r="Y399" s="1"/>
      <c r="AB399" s="1"/>
      <c r="AC399" s="1"/>
      <c r="AF399" s="1"/>
    </row>
    <row r="400" spans="25:32" ht="14.4" x14ac:dyDescent="0.3">
      <c r="Y400" s="1"/>
      <c r="AB400" s="1"/>
      <c r="AC400" s="1"/>
      <c r="AF400" s="1"/>
    </row>
    <row r="401" spans="25:32" ht="14.4" x14ac:dyDescent="0.3">
      <c r="Y401" s="1"/>
      <c r="AB401" s="1"/>
      <c r="AC401" s="1"/>
      <c r="AF401" s="1"/>
    </row>
    <row r="402" spans="25:32" ht="14.4" x14ac:dyDescent="0.3">
      <c r="Y402" s="1"/>
      <c r="AB402" s="1"/>
      <c r="AC402" s="1"/>
      <c r="AF402" s="1"/>
    </row>
    <row r="403" spans="25:32" ht="14.4" x14ac:dyDescent="0.3">
      <c r="Y403" s="1"/>
      <c r="AB403" s="1"/>
      <c r="AC403" s="1"/>
      <c r="AF403" s="1"/>
    </row>
    <row r="404" spans="25:32" ht="14.4" x14ac:dyDescent="0.3">
      <c r="Y404" s="1"/>
      <c r="AB404" s="1"/>
      <c r="AC404" s="1"/>
      <c r="AF404" s="1"/>
    </row>
    <row r="405" spans="25:32" ht="14.4" x14ac:dyDescent="0.3">
      <c r="Y405" s="1"/>
      <c r="AB405" s="1"/>
      <c r="AC405" s="1"/>
      <c r="AF405" s="1"/>
    </row>
    <row r="406" spans="25:32" ht="14.4" x14ac:dyDescent="0.3">
      <c r="Y406" s="1"/>
      <c r="AB406" s="1"/>
      <c r="AC406" s="1"/>
      <c r="AF406" s="1"/>
    </row>
    <row r="407" spans="25:32" ht="14.4" x14ac:dyDescent="0.3">
      <c r="Y407" s="1"/>
      <c r="AB407" s="1"/>
      <c r="AC407" s="1"/>
      <c r="AF407" s="1"/>
    </row>
    <row r="408" spans="25:32" ht="14.4" x14ac:dyDescent="0.3">
      <c r="Y408" s="1"/>
      <c r="AB408" s="1"/>
      <c r="AC408" s="1"/>
      <c r="AF408" s="1"/>
    </row>
    <row r="409" spans="25:32" ht="14.4" x14ac:dyDescent="0.3">
      <c r="Y409" s="1"/>
      <c r="AB409" s="1"/>
      <c r="AC409" s="1"/>
      <c r="AF409" s="1"/>
    </row>
    <row r="410" spans="25:32" ht="14.4" x14ac:dyDescent="0.3">
      <c r="Y410" s="1"/>
      <c r="AB410" s="1"/>
      <c r="AC410" s="1"/>
      <c r="AF410" s="1"/>
    </row>
    <row r="411" spans="25:32" ht="14.4" x14ac:dyDescent="0.3">
      <c r="Y411" s="1"/>
      <c r="AB411" s="1"/>
      <c r="AC411" s="1"/>
      <c r="AF411" s="1"/>
    </row>
    <row r="412" spans="25:32" ht="14.4" x14ac:dyDescent="0.3">
      <c r="Y412" s="1"/>
      <c r="AB412" s="1"/>
      <c r="AC412" s="1"/>
      <c r="AF412" s="1"/>
    </row>
    <row r="413" spans="25:32" ht="14.4" x14ac:dyDescent="0.3">
      <c r="Y413" s="1"/>
      <c r="AB413" s="1"/>
      <c r="AC413" s="1"/>
      <c r="AF413" s="1"/>
    </row>
    <row r="414" spans="25:32" ht="14.4" x14ac:dyDescent="0.3">
      <c r="Y414" s="1"/>
      <c r="AB414" s="1"/>
      <c r="AC414" s="1"/>
      <c r="AF414" s="1"/>
    </row>
    <row r="415" spans="25:32" ht="14.4" x14ac:dyDescent="0.3">
      <c r="Y415" s="1"/>
      <c r="AB415" s="1"/>
      <c r="AC415" s="1"/>
      <c r="AF415" s="1"/>
    </row>
    <row r="416" spans="25:32" ht="14.4" x14ac:dyDescent="0.3">
      <c r="Y416" s="1"/>
      <c r="AB416" s="1"/>
      <c r="AC416" s="1"/>
      <c r="AF416" s="1"/>
    </row>
    <row r="417" spans="25:32" ht="14.4" x14ac:dyDescent="0.3">
      <c r="Y417" s="1"/>
      <c r="AB417" s="1"/>
      <c r="AC417" s="1"/>
      <c r="AF417" s="1"/>
    </row>
    <row r="418" spans="25:32" ht="14.4" x14ac:dyDescent="0.3">
      <c r="Y418" s="1"/>
      <c r="AB418" s="1"/>
      <c r="AC418" s="1"/>
      <c r="AF418" s="1"/>
    </row>
    <row r="419" spans="25:32" ht="14.4" x14ac:dyDescent="0.3">
      <c r="Y419" s="1"/>
      <c r="AB419" s="1"/>
      <c r="AC419" s="1"/>
      <c r="AF419" s="1"/>
    </row>
    <row r="420" spans="25:32" ht="14.4" x14ac:dyDescent="0.3">
      <c r="Y420" s="1"/>
      <c r="AB420" s="1"/>
      <c r="AC420" s="1"/>
      <c r="AF420" s="1"/>
    </row>
    <row r="421" spans="25:32" ht="14.4" x14ac:dyDescent="0.3">
      <c r="Y421" s="1"/>
      <c r="AB421" s="1"/>
      <c r="AC421" s="1"/>
      <c r="AF421" s="1"/>
    </row>
    <row r="422" spans="25:32" ht="14.4" x14ac:dyDescent="0.3">
      <c r="Y422" s="1"/>
      <c r="AB422" s="1"/>
      <c r="AC422" s="1"/>
      <c r="AF422" s="1"/>
    </row>
    <row r="423" spans="25:32" ht="14.4" x14ac:dyDescent="0.3">
      <c r="Y423" s="1"/>
      <c r="AB423" s="1"/>
      <c r="AC423" s="1"/>
      <c r="AF423" s="1"/>
    </row>
    <row r="424" spans="25:32" ht="14.4" x14ac:dyDescent="0.3">
      <c r="Y424" s="1"/>
      <c r="AB424" s="1"/>
      <c r="AC424" s="1"/>
      <c r="AF424" s="1"/>
    </row>
    <row r="425" spans="25:32" ht="14.4" x14ac:dyDescent="0.3">
      <c r="Y425" s="1"/>
      <c r="AB425" s="1"/>
      <c r="AC425" s="1"/>
      <c r="AF425" s="1"/>
    </row>
    <row r="426" spans="25:32" ht="14.4" x14ac:dyDescent="0.3">
      <c r="Y426" s="1"/>
      <c r="AB426" s="1"/>
      <c r="AC426" s="1"/>
      <c r="AF426" s="1"/>
    </row>
    <row r="427" spans="25:32" ht="14.4" x14ac:dyDescent="0.3">
      <c r="Y427" s="1"/>
      <c r="AB427" s="1"/>
      <c r="AC427" s="1"/>
      <c r="AF427" s="1"/>
    </row>
    <row r="428" spans="25:32" ht="14.4" x14ac:dyDescent="0.3">
      <c r="Y428" s="1"/>
      <c r="AB428" s="1"/>
      <c r="AC428" s="1"/>
      <c r="AF428" s="1"/>
    </row>
    <row r="429" spans="25:32" ht="14.4" x14ac:dyDescent="0.3">
      <c r="Y429" s="1"/>
      <c r="AB429" s="1"/>
      <c r="AC429" s="1"/>
      <c r="AF429" s="1"/>
    </row>
    <row r="430" spans="25:32" ht="14.4" x14ac:dyDescent="0.3">
      <c r="Y430" s="1"/>
      <c r="AB430" s="1"/>
      <c r="AC430" s="1"/>
      <c r="AF430" s="1"/>
    </row>
    <row r="431" spans="25:32" ht="14.4" x14ac:dyDescent="0.3">
      <c r="Y431" s="1"/>
      <c r="AB431" s="1"/>
      <c r="AC431" s="1"/>
      <c r="AF431" s="1"/>
    </row>
    <row r="432" spans="25:32" ht="14.4" x14ac:dyDescent="0.3">
      <c r="Y432" s="1"/>
      <c r="AB432" s="1"/>
      <c r="AC432" s="1"/>
      <c r="AF432" s="1"/>
    </row>
    <row r="433" spans="25:32" ht="14.4" x14ac:dyDescent="0.3">
      <c r="Y433" s="1"/>
      <c r="AB433" s="1"/>
      <c r="AC433" s="1"/>
      <c r="AF433" s="1"/>
    </row>
    <row r="434" spans="25:32" ht="14.4" x14ac:dyDescent="0.3">
      <c r="Y434" s="1"/>
      <c r="AB434" s="1"/>
      <c r="AC434" s="1"/>
      <c r="AF434" s="1"/>
    </row>
    <row r="435" spans="25:32" ht="14.4" x14ac:dyDescent="0.3">
      <c r="Y435" s="1"/>
      <c r="AB435" s="1"/>
      <c r="AC435" s="1"/>
      <c r="AF435" s="1"/>
    </row>
    <row r="436" spans="25:32" ht="14.4" x14ac:dyDescent="0.3">
      <c r="Y436" s="1"/>
      <c r="AB436" s="1"/>
      <c r="AC436" s="1"/>
      <c r="AF436" s="1"/>
    </row>
    <row r="437" spans="25:32" ht="14.4" x14ac:dyDescent="0.3">
      <c r="Y437" s="1"/>
      <c r="AB437" s="1"/>
      <c r="AC437" s="1"/>
      <c r="AF437" s="1"/>
    </row>
    <row r="438" spans="25:32" ht="14.4" x14ac:dyDescent="0.3">
      <c r="Y438" s="1"/>
      <c r="AB438" s="1"/>
      <c r="AC438" s="1"/>
      <c r="AF438" s="1"/>
    </row>
    <row r="439" spans="25:32" ht="14.4" x14ac:dyDescent="0.3">
      <c r="Y439" s="1"/>
      <c r="AB439" s="1"/>
      <c r="AC439" s="1"/>
      <c r="AF439" s="1"/>
    </row>
    <row r="440" spans="25:32" ht="14.4" x14ac:dyDescent="0.3">
      <c r="Y440" s="1"/>
      <c r="AB440" s="1"/>
      <c r="AC440" s="1"/>
      <c r="AF440" s="1"/>
    </row>
    <row r="441" spans="25:32" ht="14.4" x14ac:dyDescent="0.3">
      <c r="Y441" s="1"/>
      <c r="AB441" s="1"/>
      <c r="AC441" s="1"/>
      <c r="AF441" s="1"/>
    </row>
    <row r="442" spans="25:32" ht="14.4" x14ac:dyDescent="0.3">
      <c r="Y442" s="1"/>
      <c r="AB442" s="1"/>
      <c r="AC442" s="1"/>
      <c r="AF442" s="1"/>
    </row>
    <row r="443" spans="25:32" ht="14.4" x14ac:dyDescent="0.3">
      <c r="Y443" s="1"/>
      <c r="AB443" s="1"/>
      <c r="AC443" s="1"/>
      <c r="AF443" s="1"/>
    </row>
    <row r="444" spans="25:32" ht="14.4" x14ac:dyDescent="0.3">
      <c r="Y444" s="1"/>
      <c r="AB444" s="1"/>
      <c r="AC444" s="1"/>
      <c r="AF444" s="1"/>
    </row>
    <row r="445" spans="25:32" ht="14.4" x14ac:dyDescent="0.3">
      <c r="Y445" s="1"/>
      <c r="AB445" s="1"/>
      <c r="AC445" s="1"/>
      <c r="AF445" s="1"/>
    </row>
    <row r="446" spans="25:32" ht="14.4" x14ac:dyDescent="0.3">
      <c r="Y446" s="1"/>
      <c r="AB446" s="1"/>
      <c r="AC446" s="1"/>
      <c r="AF446" s="1"/>
    </row>
    <row r="447" spans="25:32" ht="14.4" x14ac:dyDescent="0.3">
      <c r="Y447" s="1"/>
      <c r="AB447" s="1"/>
      <c r="AC447" s="1"/>
      <c r="AF447" s="1"/>
    </row>
    <row r="448" spans="25:32" ht="14.4" x14ac:dyDescent="0.3">
      <c r="Y448" s="1"/>
      <c r="AB448" s="1"/>
      <c r="AC448" s="1"/>
      <c r="AF448" s="1"/>
    </row>
    <row r="449" spans="25:32" ht="14.4" x14ac:dyDescent="0.3">
      <c r="Y449" s="1"/>
      <c r="AB449" s="1"/>
      <c r="AC449" s="1"/>
      <c r="AF449" s="1"/>
    </row>
    <row r="450" spans="25:32" ht="14.4" x14ac:dyDescent="0.3">
      <c r="Y450" s="1"/>
      <c r="AB450" s="1"/>
      <c r="AC450" s="1"/>
      <c r="AF450" s="1"/>
    </row>
    <row r="451" spans="25:32" ht="14.4" x14ac:dyDescent="0.3">
      <c r="Y451" s="1"/>
      <c r="AB451" s="1"/>
      <c r="AC451" s="1"/>
      <c r="AF451" s="1"/>
    </row>
    <row r="452" spans="25:32" ht="14.4" x14ac:dyDescent="0.3">
      <c r="Y452" s="1"/>
      <c r="AB452" s="1"/>
      <c r="AC452" s="1"/>
      <c r="AF452" s="1"/>
    </row>
    <row r="453" spans="25:32" ht="14.4" x14ac:dyDescent="0.3">
      <c r="Y453" s="1"/>
      <c r="AB453" s="1"/>
      <c r="AC453" s="1"/>
      <c r="AF453" s="1"/>
    </row>
    <row r="454" spans="25:32" ht="14.4" x14ac:dyDescent="0.3">
      <c r="Y454" s="1"/>
      <c r="AB454" s="1"/>
      <c r="AC454" s="1"/>
      <c r="AF454" s="1"/>
    </row>
    <row r="455" spans="25:32" ht="14.4" x14ac:dyDescent="0.3">
      <c r="Y455" s="1"/>
      <c r="AB455" s="1"/>
      <c r="AC455" s="1"/>
      <c r="AF455" s="1"/>
    </row>
    <row r="456" spans="25:32" ht="14.4" x14ac:dyDescent="0.3">
      <c r="Y456" s="1"/>
      <c r="AB456" s="1"/>
      <c r="AC456" s="1"/>
      <c r="AF456" s="1"/>
    </row>
    <row r="457" spans="25:32" ht="14.4" x14ac:dyDescent="0.3">
      <c r="Y457" s="1"/>
      <c r="AB457" s="1"/>
      <c r="AC457" s="1"/>
      <c r="AF457" s="1"/>
    </row>
    <row r="458" spans="25:32" ht="14.4" x14ac:dyDescent="0.3">
      <c r="Y458" s="1"/>
      <c r="AB458" s="1"/>
      <c r="AC458" s="1"/>
      <c r="AF458" s="1"/>
    </row>
    <row r="459" spans="25:32" ht="14.4" x14ac:dyDescent="0.3">
      <c r="Y459" s="1"/>
      <c r="AB459" s="1"/>
      <c r="AC459" s="1"/>
      <c r="AF459" s="1"/>
    </row>
    <row r="460" spans="25:32" ht="14.4" x14ac:dyDescent="0.3">
      <c r="Y460" s="1"/>
      <c r="AB460" s="1"/>
      <c r="AC460" s="1"/>
      <c r="AF460" s="1"/>
    </row>
    <row r="461" spans="25:32" ht="14.4" x14ac:dyDescent="0.3">
      <c r="Y461" s="1"/>
      <c r="AB461" s="1"/>
      <c r="AC461" s="1"/>
      <c r="AF461" s="1"/>
    </row>
    <row r="462" spans="25:32" ht="14.4" x14ac:dyDescent="0.3">
      <c r="Y462" s="1"/>
      <c r="AB462" s="1"/>
      <c r="AC462" s="1"/>
      <c r="AF462" s="1"/>
    </row>
    <row r="463" spans="25:32" ht="14.4" x14ac:dyDescent="0.3">
      <c r="Y463" s="1"/>
      <c r="AB463" s="1"/>
      <c r="AC463" s="1"/>
      <c r="AF463" s="1"/>
    </row>
    <row r="464" spans="25:32" ht="14.4" x14ac:dyDescent="0.3">
      <c r="Y464" s="1"/>
      <c r="AB464" s="1"/>
      <c r="AC464" s="1"/>
      <c r="AF464" s="1"/>
    </row>
    <row r="465" spans="25:32" ht="14.4" x14ac:dyDescent="0.3">
      <c r="Y465" s="1"/>
      <c r="AB465" s="1"/>
      <c r="AC465" s="1"/>
      <c r="AF465" s="1"/>
    </row>
    <row r="466" spans="25:32" ht="14.4" x14ac:dyDescent="0.3">
      <c r="Y466" s="1"/>
      <c r="AB466" s="1"/>
      <c r="AC466" s="1"/>
      <c r="AF466" s="1"/>
    </row>
    <row r="467" spans="25:32" ht="14.4" x14ac:dyDescent="0.3">
      <c r="Y467" s="1"/>
      <c r="AB467" s="1"/>
      <c r="AC467" s="1"/>
      <c r="AF467" s="1"/>
    </row>
    <row r="468" spans="25:32" ht="14.4" x14ac:dyDescent="0.3">
      <c r="Y468" s="1"/>
      <c r="AB468" s="1"/>
      <c r="AC468" s="1"/>
      <c r="AF468" s="1"/>
    </row>
    <row r="469" spans="25:32" ht="14.4" x14ac:dyDescent="0.3">
      <c r="Y469" s="1"/>
      <c r="AB469" s="1"/>
      <c r="AC469" s="1"/>
      <c r="AF469" s="1"/>
    </row>
    <row r="470" spans="25:32" ht="14.4" x14ac:dyDescent="0.3">
      <c r="Y470" s="1"/>
      <c r="AB470" s="1"/>
      <c r="AC470" s="1"/>
      <c r="AF470" s="1"/>
    </row>
    <row r="471" spans="25:32" ht="14.4" x14ac:dyDescent="0.3">
      <c r="Y471" s="1"/>
      <c r="AB471" s="1"/>
      <c r="AC471" s="1"/>
      <c r="AF471" s="1"/>
    </row>
    <row r="472" spans="25:32" ht="14.4" x14ac:dyDescent="0.3">
      <c r="Y472" s="1"/>
      <c r="AB472" s="1"/>
      <c r="AC472" s="1"/>
      <c r="AF472" s="1"/>
    </row>
    <row r="473" spans="25:32" ht="14.4" x14ac:dyDescent="0.3">
      <c r="Y473" s="1"/>
      <c r="AB473" s="1"/>
      <c r="AC473" s="1"/>
      <c r="AF473" s="1"/>
    </row>
    <row r="474" spans="25:32" ht="14.4" x14ac:dyDescent="0.3">
      <c r="Y474" s="1"/>
      <c r="AB474" s="1"/>
      <c r="AC474" s="1"/>
      <c r="AF474" s="1"/>
    </row>
    <row r="475" spans="25:32" ht="14.4" x14ac:dyDescent="0.3">
      <c r="Y475" s="1"/>
      <c r="AB475" s="1"/>
      <c r="AC475" s="1"/>
      <c r="AF475" s="1"/>
    </row>
    <row r="476" spans="25:32" ht="14.4" x14ac:dyDescent="0.3">
      <c r="Y476" s="1"/>
      <c r="AB476" s="1"/>
      <c r="AC476" s="1"/>
      <c r="AF476" s="1"/>
    </row>
    <row r="477" spans="25:32" ht="14.4" x14ac:dyDescent="0.3">
      <c r="Y477" s="1"/>
      <c r="AB477" s="1"/>
      <c r="AC477" s="1"/>
      <c r="AF477" s="1"/>
    </row>
    <row r="478" spans="25:32" ht="14.4" x14ac:dyDescent="0.3">
      <c r="Y478" s="1"/>
      <c r="AB478" s="1"/>
      <c r="AC478" s="1"/>
      <c r="AF478" s="1"/>
    </row>
    <row r="479" spans="25:32" ht="14.4" x14ac:dyDescent="0.3">
      <c r="Y479" s="1"/>
      <c r="AB479" s="1"/>
      <c r="AC479" s="1"/>
      <c r="AF479" s="1"/>
    </row>
    <row r="480" spans="25:32" ht="14.4" x14ac:dyDescent="0.3">
      <c r="Y480" s="1"/>
      <c r="AB480" s="1"/>
      <c r="AC480" s="1"/>
      <c r="AF480" s="1"/>
    </row>
    <row r="481" spans="25:32" ht="14.4" x14ac:dyDescent="0.3">
      <c r="Y481" s="1"/>
      <c r="AB481" s="1"/>
      <c r="AC481" s="1"/>
      <c r="AF481" s="1"/>
    </row>
    <row r="482" spans="25:32" ht="14.4" x14ac:dyDescent="0.3">
      <c r="Y482" s="1"/>
      <c r="AB482" s="1"/>
      <c r="AC482" s="1"/>
      <c r="AF482" s="1"/>
    </row>
    <row r="483" spans="25:32" ht="14.4" x14ac:dyDescent="0.3">
      <c r="Y483" s="1"/>
      <c r="AB483" s="1"/>
      <c r="AC483" s="1"/>
      <c r="AF483" s="1"/>
    </row>
    <row r="484" spans="25:32" ht="14.4" x14ac:dyDescent="0.3">
      <c r="Y484" s="1"/>
      <c r="AB484" s="1"/>
      <c r="AC484" s="1"/>
      <c r="AF484" s="1"/>
    </row>
    <row r="485" spans="25:32" ht="14.4" x14ac:dyDescent="0.3">
      <c r="Y485" s="1"/>
      <c r="AB485" s="1"/>
      <c r="AC485" s="1"/>
      <c r="AF485" s="1"/>
    </row>
    <row r="486" spans="25:32" ht="14.4" x14ac:dyDescent="0.3">
      <c r="Y486" s="1"/>
      <c r="AB486" s="1"/>
      <c r="AC486" s="1"/>
      <c r="AF486" s="1"/>
    </row>
    <row r="487" spans="25:32" ht="14.4" x14ac:dyDescent="0.3">
      <c r="Y487" s="1"/>
      <c r="AB487" s="1"/>
      <c r="AC487" s="1"/>
      <c r="AF487" s="1"/>
    </row>
    <row r="488" spans="25:32" ht="14.4" x14ac:dyDescent="0.3">
      <c r="Y488" s="1"/>
      <c r="AB488" s="1"/>
      <c r="AC488" s="1"/>
      <c r="AF488" s="1"/>
    </row>
    <row r="489" spans="25:32" ht="14.4" x14ac:dyDescent="0.3">
      <c r="Y489" s="1"/>
      <c r="AB489" s="1"/>
      <c r="AC489" s="1"/>
      <c r="AF489" s="1"/>
    </row>
    <row r="490" spans="25:32" ht="14.4" x14ac:dyDescent="0.3">
      <c r="Y490" s="1"/>
      <c r="AB490" s="1"/>
      <c r="AC490" s="1"/>
      <c r="AF490" s="1"/>
    </row>
    <row r="491" spans="25:32" ht="14.4" x14ac:dyDescent="0.3">
      <c r="Y491" s="1"/>
      <c r="AB491" s="1"/>
      <c r="AC491" s="1"/>
      <c r="AF491" s="1"/>
    </row>
    <row r="492" spans="25:32" ht="14.4" x14ac:dyDescent="0.3">
      <c r="Y492" s="1"/>
      <c r="AB492" s="1"/>
      <c r="AC492" s="1"/>
      <c r="AF492" s="1"/>
    </row>
    <row r="493" spans="25:32" ht="14.4" x14ac:dyDescent="0.3">
      <c r="Y493" s="1"/>
      <c r="AB493" s="1"/>
      <c r="AC493" s="1"/>
      <c r="AF493" s="1"/>
    </row>
    <row r="494" spans="25:32" ht="14.4" x14ac:dyDescent="0.3">
      <c r="Y494" s="1"/>
      <c r="AB494" s="1"/>
      <c r="AC494" s="1"/>
      <c r="AF494" s="1"/>
    </row>
    <row r="495" spans="25:32" ht="14.4" x14ac:dyDescent="0.3">
      <c r="Y495" s="1"/>
      <c r="AB495" s="1"/>
      <c r="AC495" s="1"/>
      <c r="AF495" s="1"/>
    </row>
    <row r="496" spans="25:32" ht="14.4" x14ac:dyDescent="0.3">
      <c r="Y496" s="1"/>
      <c r="AB496" s="1"/>
      <c r="AC496" s="1"/>
      <c r="AF496" s="1"/>
    </row>
    <row r="497" spans="25:32" ht="14.4" x14ac:dyDescent="0.3">
      <c r="Y497" s="1"/>
      <c r="AB497" s="1"/>
      <c r="AC497" s="1"/>
      <c r="AF497" s="1"/>
    </row>
    <row r="498" spans="25:32" ht="14.4" x14ac:dyDescent="0.3">
      <c r="Y498" s="1"/>
      <c r="AB498" s="1"/>
      <c r="AC498" s="1"/>
      <c r="AF498" s="1"/>
    </row>
    <row r="499" spans="25:32" ht="14.4" x14ac:dyDescent="0.3">
      <c r="Y499" s="1"/>
      <c r="AB499" s="1"/>
      <c r="AC499" s="1"/>
      <c r="AF499" s="1"/>
    </row>
    <row r="500" spans="25:32" ht="14.4" x14ac:dyDescent="0.3">
      <c r="Y500" s="1"/>
      <c r="AB500" s="1"/>
      <c r="AC500" s="1"/>
      <c r="AF500" s="1"/>
    </row>
    <row r="501" spans="25:32" ht="14.4" x14ac:dyDescent="0.3">
      <c r="Y501" s="1"/>
      <c r="AB501" s="1"/>
      <c r="AC501" s="1"/>
      <c r="AF501" s="1"/>
    </row>
    <row r="502" spans="25:32" ht="14.4" x14ac:dyDescent="0.3">
      <c r="Y502" s="1"/>
      <c r="AB502" s="1"/>
      <c r="AC502" s="1"/>
      <c r="AF502" s="1"/>
    </row>
    <row r="503" spans="25:32" ht="14.4" x14ac:dyDescent="0.3">
      <c r="Y503" s="1"/>
      <c r="AB503" s="1"/>
      <c r="AC503" s="1"/>
      <c r="AF503" s="1"/>
    </row>
    <row r="504" spans="25:32" ht="14.4" x14ac:dyDescent="0.3">
      <c r="Y504" s="1"/>
      <c r="AB504" s="1"/>
      <c r="AC504" s="1"/>
      <c r="AF504" s="1"/>
    </row>
    <row r="505" spans="25:32" ht="14.4" x14ac:dyDescent="0.3">
      <c r="Y505" s="1"/>
      <c r="AB505" s="1"/>
      <c r="AC505" s="1"/>
      <c r="AF505" s="1"/>
    </row>
    <row r="506" spans="25:32" ht="14.4" x14ac:dyDescent="0.3">
      <c r="Y506" s="1"/>
      <c r="AB506" s="1"/>
      <c r="AC506" s="1"/>
      <c r="AF506" s="1"/>
    </row>
    <row r="507" spans="25:32" ht="14.4" x14ac:dyDescent="0.3">
      <c r="Y507" s="1"/>
      <c r="AB507" s="1"/>
      <c r="AC507" s="1"/>
      <c r="AF507" s="1"/>
    </row>
    <row r="508" spans="25:32" ht="14.4" x14ac:dyDescent="0.3">
      <c r="Y508" s="1"/>
      <c r="AB508" s="1"/>
      <c r="AC508" s="1"/>
      <c r="AF508" s="1"/>
    </row>
    <row r="509" spans="25:32" ht="14.4" x14ac:dyDescent="0.3">
      <c r="Y509" s="1"/>
      <c r="AB509" s="1"/>
      <c r="AC509" s="1"/>
      <c r="AF509" s="1"/>
    </row>
    <row r="510" spans="25:32" ht="14.4" x14ac:dyDescent="0.3">
      <c r="Y510" s="1"/>
      <c r="AB510" s="1"/>
      <c r="AC510" s="1"/>
      <c r="AF510" s="1"/>
    </row>
    <row r="511" spans="25:32" ht="14.4" x14ac:dyDescent="0.3">
      <c r="Y511" s="1"/>
      <c r="AB511" s="1"/>
      <c r="AC511" s="1"/>
      <c r="AF511" s="1"/>
    </row>
    <row r="512" spans="25:32" ht="14.4" x14ac:dyDescent="0.3">
      <c r="Y512" s="1"/>
      <c r="AB512" s="1"/>
      <c r="AC512" s="1"/>
      <c r="AF512" s="1"/>
    </row>
    <row r="513" spans="25:32" ht="14.4" x14ac:dyDescent="0.3">
      <c r="Y513" s="1"/>
      <c r="AB513" s="1"/>
      <c r="AC513" s="1"/>
      <c r="AF513" s="1"/>
    </row>
    <row r="514" spans="25:32" ht="14.4" x14ac:dyDescent="0.3">
      <c r="Y514" s="1"/>
      <c r="AB514" s="1"/>
      <c r="AC514" s="1"/>
      <c r="AF514" s="1"/>
    </row>
    <row r="515" spans="25:32" ht="14.4" x14ac:dyDescent="0.3">
      <c r="Y515" s="1"/>
      <c r="AB515" s="1"/>
      <c r="AC515" s="1"/>
      <c r="AF515" s="1"/>
    </row>
    <row r="516" spans="25:32" ht="14.4" x14ac:dyDescent="0.3">
      <c r="Y516" s="1"/>
      <c r="AB516" s="1"/>
      <c r="AC516" s="1"/>
      <c r="AF516" s="1"/>
    </row>
    <row r="517" spans="25:32" ht="14.4" x14ac:dyDescent="0.3">
      <c r="Y517" s="1"/>
      <c r="AB517" s="1"/>
      <c r="AC517" s="1"/>
      <c r="AF517" s="1"/>
    </row>
    <row r="518" spans="25:32" ht="14.4" x14ac:dyDescent="0.3">
      <c r="Y518" s="1"/>
      <c r="AB518" s="1"/>
      <c r="AC518" s="1"/>
      <c r="AF518" s="1"/>
    </row>
    <row r="519" spans="25:32" ht="14.4" x14ac:dyDescent="0.3">
      <c r="Y519" s="1"/>
      <c r="AB519" s="1"/>
      <c r="AC519" s="1"/>
      <c r="AF519" s="1"/>
    </row>
    <row r="520" spans="25:32" ht="14.4" x14ac:dyDescent="0.3">
      <c r="Y520" s="1"/>
      <c r="AB520" s="1"/>
      <c r="AC520" s="1"/>
      <c r="AF520" s="1"/>
    </row>
    <row r="521" spans="25:32" ht="14.4" x14ac:dyDescent="0.3">
      <c r="Y521" s="1"/>
      <c r="AB521" s="1"/>
      <c r="AC521" s="1"/>
      <c r="AF521" s="1"/>
    </row>
    <row r="522" spans="25:32" ht="14.4" x14ac:dyDescent="0.3">
      <c r="Y522" s="1"/>
      <c r="AB522" s="1"/>
      <c r="AC522" s="1"/>
      <c r="AF522" s="1"/>
    </row>
    <row r="523" spans="25:32" ht="14.4" x14ac:dyDescent="0.3">
      <c r="Y523" s="1"/>
      <c r="AB523" s="1"/>
      <c r="AC523" s="1"/>
      <c r="AF523" s="1"/>
    </row>
    <row r="524" spans="25:32" ht="14.4" x14ac:dyDescent="0.3">
      <c r="Y524" s="1"/>
      <c r="AB524" s="1"/>
      <c r="AC524" s="1"/>
      <c r="AF524" s="1"/>
    </row>
    <row r="525" spans="25:32" ht="14.4" x14ac:dyDescent="0.3">
      <c r="Y525" s="1"/>
      <c r="AB525" s="1"/>
      <c r="AC525" s="1"/>
      <c r="AF525" s="1"/>
    </row>
    <row r="526" spans="25:32" ht="14.4" x14ac:dyDescent="0.3">
      <c r="Y526" s="1"/>
      <c r="AB526" s="1"/>
      <c r="AC526" s="1"/>
      <c r="AF526" s="1"/>
    </row>
    <row r="527" spans="25:32" ht="14.4" x14ac:dyDescent="0.3">
      <c r="Y527" s="1"/>
      <c r="AB527" s="1"/>
      <c r="AC527" s="1"/>
      <c r="AF527" s="1"/>
    </row>
    <row r="528" spans="25:32" ht="14.4" x14ac:dyDescent="0.3">
      <c r="Y528" s="1"/>
      <c r="AB528" s="1"/>
      <c r="AC528" s="1"/>
      <c r="AF528" s="1"/>
    </row>
    <row r="529" spans="25:32" ht="14.4" x14ac:dyDescent="0.3">
      <c r="Y529" s="1"/>
      <c r="AB529" s="1"/>
      <c r="AC529" s="1"/>
      <c r="AF529" s="1"/>
    </row>
    <row r="530" spans="25:32" ht="14.4" x14ac:dyDescent="0.3">
      <c r="Y530" s="1"/>
      <c r="AB530" s="1"/>
      <c r="AC530" s="1"/>
      <c r="AF530" s="1"/>
    </row>
    <row r="531" spans="25:32" ht="14.4" x14ac:dyDescent="0.3">
      <c r="Y531" s="1"/>
      <c r="AB531" s="1"/>
      <c r="AC531" s="1"/>
      <c r="AF531" s="1"/>
    </row>
    <row r="532" spans="25:32" ht="14.4" x14ac:dyDescent="0.3">
      <c r="Y532" s="1"/>
      <c r="AB532" s="1"/>
      <c r="AC532" s="1"/>
      <c r="AF532" s="1"/>
    </row>
    <row r="533" spans="25:32" ht="14.4" x14ac:dyDescent="0.3">
      <c r="Y533" s="1"/>
      <c r="AB533" s="1"/>
      <c r="AC533" s="1"/>
      <c r="AF533" s="1"/>
    </row>
    <row r="534" spans="25:32" ht="14.4" x14ac:dyDescent="0.3">
      <c r="Y534" s="1"/>
      <c r="AB534" s="1"/>
      <c r="AC534" s="1"/>
      <c r="AF534" s="1"/>
    </row>
    <row r="535" spans="25:32" ht="14.4" x14ac:dyDescent="0.3">
      <c r="Y535" s="1"/>
      <c r="AB535" s="1"/>
      <c r="AC535" s="1"/>
      <c r="AF535" s="1"/>
    </row>
    <row r="536" spans="25:32" ht="14.4" x14ac:dyDescent="0.3">
      <c r="Y536" s="1"/>
      <c r="AB536" s="1"/>
      <c r="AC536" s="1"/>
      <c r="AF536" s="1"/>
    </row>
    <row r="537" spans="25:32" ht="14.4" x14ac:dyDescent="0.3">
      <c r="Y537" s="1"/>
      <c r="AB537" s="1"/>
      <c r="AC537" s="1"/>
      <c r="AF537" s="1"/>
    </row>
    <row r="538" spans="25:32" ht="14.4" x14ac:dyDescent="0.3">
      <c r="Y538" s="1"/>
      <c r="AB538" s="1"/>
      <c r="AC538" s="1"/>
      <c r="AF538" s="1"/>
    </row>
    <row r="539" spans="25:32" ht="14.4" x14ac:dyDescent="0.3">
      <c r="Y539" s="1"/>
      <c r="AB539" s="1"/>
      <c r="AC539" s="1"/>
      <c r="AF539" s="1"/>
    </row>
    <row r="540" spans="25:32" ht="14.4" x14ac:dyDescent="0.3">
      <c r="Y540" s="1"/>
      <c r="AB540" s="1"/>
      <c r="AC540" s="1"/>
      <c r="AF540" s="1"/>
    </row>
    <row r="541" spans="25:32" ht="14.4" x14ac:dyDescent="0.3">
      <c r="Y541" s="1"/>
      <c r="AB541" s="1"/>
      <c r="AC541" s="1"/>
      <c r="AF541" s="1"/>
    </row>
    <row r="542" spans="25:32" ht="14.4" x14ac:dyDescent="0.3">
      <c r="Y542" s="1"/>
      <c r="AB542" s="1"/>
      <c r="AC542" s="1"/>
      <c r="AF542" s="1"/>
    </row>
    <row r="543" spans="25:32" ht="14.4" x14ac:dyDescent="0.3">
      <c r="Y543" s="1"/>
      <c r="AB543" s="1"/>
      <c r="AC543" s="1"/>
      <c r="AF543" s="1"/>
    </row>
    <row r="544" spans="25:32" ht="14.4" x14ac:dyDescent="0.3">
      <c r="Y544" s="1"/>
      <c r="AB544" s="1"/>
      <c r="AC544" s="1"/>
      <c r="AF544" s="1"/>
    </row>
    <row r="545" spans="25:32" ht="14.4" x14ac:dyDescent="0.3">
      <c r="Y545" s="1"/>
      <c r="AB545" s="1"/>
      <c r="AC545" s="1"/>
      <c r="AF545" s="1"/>
    </row>
    <row r="546" spans="25:32" ht="14.4" x14ac:dyDescent="0.3">
      <c r="Y546" s="1"/>
      <c r="AB546" s="1"/>
      <c r="AC546" s="1"/>
      <c r="AF546" s="1"/>
    </row>
    <row r="547" spans="25:32" ht="14.4" x14ac:dyDescent="0.3">
      <c r="Y547" s="1"/>
      <c r="AB547" s="1"/>
      <c r="AC547" s="1"/>
      <c r="AF547" s="1"/>
    </row>
    <row r="548" spans="25:32" ht="14.4" x14ac:dyDescent="0.3">
      <c r="Y548" s="1"/>
      <c r="AB548" s="1"/>
      <c r="AC548" s="1"/>
      <c r="AF548" s="1"/>
    </row>
    <row r="549" spans="25:32" ht="14.4" x14ac:dyDescent="0.3">
      <c r="Y549" s="1"/>
      <c r="AB549" s="1"/>
      <c r="AC549" s="1"/>
      <c r="AF549" s="1"/>
    </row>
    <row r="550" spans="25:32" ht="14.4" x14ac:dyDescent="0.3">
      <c r="Y550" s="1"/>
      <c r="AB550" s="1"/>
      <c r="AC550" s="1"/>
      <c r="AF550" s="1"/>
    </row>
    <row r="551" spans="25:32" ht="14.4" x14ac:dyDescent="0.3">
      <c r="Y551" s="1"/>
      <c r="AB551" s="1"/>
      <c r="AC551" s="1"/>
      <c r="AF551" s="1"/>
    </row>
    <row r="552" spans="25:32" ht="14.4" x14ac:dyDescent="0.3">
      <c r="Y552" s="1"/>
      <c r="AB552" s="1"/>
      <c r="AC552" s="1"/>
      <c r="AF552" s="1"/>
    </row>
    <row r="553" spans="25:32" ht="14.4" x14ac:dyDescent="0.3">
      <c r="Y553" s="1"/>
      <c r="AB553" s="1"/>
      <c r="AC553" s="1"/>
      <c r="AF553" s="1"/>
    </row>
    <row r="554" spans="25:32" ht="14.4" x14ac:dyDescent="0.3">
      <c r="Y554" s="1"/>
      <c r="AB554" s="1"/>
      <c r="AC554" s="1"/>
      <c r="AF554" s="1"/>
    </row>
    <row r="555" spans="25:32" ht="14.4" x14ac:dyDescent="0.3">
      <c r="Y555" s="1"/>
      <c r="AB555" s="1"/>
      <c r="AC555" s="1"/>
      <c r="AF555" s="1"/>
    </row>
    <row r="556" spans="25:32" ht="14.4" x14ac:dyDescent="0.3">
      <c r="Y556" s="1"/>
      <c r="AB556" s="1"/>
      <c r="AC556" s="1"/>
      <c r="AF556" s="1"/>
    </row>
    <row r="557" spans="25:32" ht="14.4" x14ac:dyDescent="0.3">
      <c r="Y557" s="1"/>
      <c r="AB557" s="1"/>
      <c r="AC557" s="1"/>
      <c r="AF557" s="1"/>
    </row>
    <row r="558" spans="25:32" ht="14.4" x14ac:dyDescent="0.3">
      <c r="Y558" s="1"/>
      <c r="AB558" s="1"/>
      <c r="AC558" s="1"/>
      <c r="AF558" s="1"/>
    </row>
    <row r="559" spans="25:32" ht="14.4" x14ac:dyDescent="0.3">
      <c r="Y559" s="1"/>
      <c r="AB559" s="1"/>
      <c r="AC559" s="1"/>
      <c r="AF559" s="1"/>
    </row>
    <row r="560" spans="25:32" ht="14.4" x14ac:dyDescent="0.3">
      <c r="Y560" s="1"/>
      <c r="AB560" s="1"/>
      <c r="AC560" s="1"/>
      <c r="AF560" s="1"/>
    </row>
    <row r="561" spans="25:32" ht="14.4" x14ac:dyDescent="0.3">
      <c r="Y561" s="1"/>
      <c r="AB561" s="1"/>
      <c r="AC561" s="1"/>
      <c r="AF561" s="1"/>
    </row>
    <row r="562" spans="25:32" ht="14.4" x14ac:dyDescent="0.3">
      <c r="Y562" s="1"/>
      <c r="AB562" s="1"/>
      <c r="AC562" s="1"/>
      <c r="AF562" s="1"/>
    </row>
    <row r="563" spans="25:32" ht="14.4" x14ac:dyDescent="0.3">
      <c r="Y563" s="1"/>
      <c r="AB563" s="1"/>
      <c r="AC563" s="1"/>
      <c r="AF563" s="1"/>
    </row>
    <row r="564" spans="25:32" ht="14.4" x14ac:dyDescent="0.3">
      <c r="Y564" s="1"/>
      <c r="AB564" s="1"/>
      <c r="AC564" s="1"/>
      <c r="AF564" s="1"/>
    </row>
    <row r="565" spans="25:32" ht="14.4" x14ac:dyDescent="0.3">
      <c r="Y565" s="1"/>
      <c r="AB565" s="1"/>
      <c r="AC565" s="1"/>
      <c r="AF565" s="1"/>
    </row>
    <row r="566" spans="25:32" ht="14.4" x14ac:dyDescent="0.3">
      <c r="Y566" s="1"/>
      <c r="AB566" s="1"/>
      <c r="AC566" s="1"/>
      <c r="AF566" s="1"/>
    </row>
    <row r="567" spans="25:32" ht="14.4" x14ac:dyDescent="0.3">
      <c r="Y567" s="1"/>
      <c r="AB567" s="1"/>
      <c r="AC567" s="1"/>
      <c r="AF567" s="1"/>
    </row>
    <row r="568" spans="25:32" ht="14.4" x14ac:dyDescent="0.3">
      <c r="Y568" s="1"/>
      <c r="AB568" s="1"/>
      <c r="AC568" s="1"/>
      <c r="AF568" s="1"/>
    </row>
    <row r="569" spans="25:32" ht="14.4" x14ac:dyDescent="0.3">
      <c r="Y569" s="1"/>
      <c r="AB569" s="1"/>
      <c r="AC569" s="1"/>
      <c r="AF569" s="1"/>
    </row>
    <row r="570" spans="25:32" ht="14.4" x14ac:dyDescent="0.3">
      <c r="Y570" s="1"/>
      <c r="AB570" s="1"/>
      <c r="AC570" s="1"/>
      <c r="AF570" s="1"/>
    </row>
    <row r="571" spans="25:32" ht="14.4" x14ac:dyDescent="0.3">
      <c r="Y571" s="1"/>
      <c r="AB571" s="1"/>
      <c r="AC571" s="1"/>
      <c r="AF571" s="1"/>
    </row>
    <row r="572" spans="25:32" ht="14.4" x14ac:dyDescent="0.3">
      <c r="Y572" s="1"/>
      <c r="AB572" s="1"/>
      <c r="AC572" s="1"/>
      <c r="AF572" s="1"/>
    </row>
    <row r="573" spans="25:32" ht="14.4" x14ac:dyDescent="0.3">
      <c r="Y573" s="1"/>
      <c r="AB573" s="1"/>
      <c r="AC573" s="1"/>
      <c r="AF573" s="1"/>
    </row>
    <row r="574" spans="25:32" ht="14.4" x14ac:dyDescent="0.3">
      <c r="Y574" s="1"/>
      <c r="AB574" s="1"/>
      <c r="AC574" s="1"/>
      <c r="AF574" s="1"/>
    </row>
    <row r="575" spans="25:32" ht="14.4" x14ac:dyDescent="0.3">
      <c r="Y575" s="1"/>
      <c r="AB575" s="1"/>
      <c r="AC575" s="1"/>
      <c r="AF575" s="1"/>
    </row>
    <row r="576" spans="25:32" ht="14.4" x14ac:dyDescent="0.3">
      <c r="Y576" s="1"/>
      <c r="AB576" s="1"/>
      <c r="AC576" s="1"/>
      <c r="AF576" s="1"/>
    </row>
    <row r="577" spans="25:32" ht="14.4" x14ac:dyDescent="0.3">
      <c r="Y577" s="1"/>
      <c r="AB577" s="1"/>
      <c r="AC577" s="1"/>
      <c r="AF577" s="1"/>
    </row>
    <row r="578" spans="25:32" ht="14.4" x14ac:dyDescent="0.3">
      <c r="Y578" s="1"/>
      <c r="AB578" s="1"/>
      <c r="AC578" s="1"/>
      <c r="AF578" s="1"/>
    </row>
    <row r="579" spans="25:32" ht="14.4" x14ac:dyDescent="0.3">
      <c r="Y579" s="1"/>
      <c r="AB579" s="1"/>
      <c r="AC579" s="1"/>
      <c r="AF579" s="1"/>
    </row>
    <row r="580" spans="25:32" ht="14.4" x14ac:dyDescent="0.3">
      <c r="Y580" s="1"/>
      <c r="AB580" s="1"/>
      <c r="AC580" s="1"/>
      <c r="AF580" s="1"/>
    </row>
    <row r="581" spans="25:32" ht="14.4" x14ac:dyDescent="0.3">
      <c r="Y581" s="1"/>
      <c r="AB581" s="1"/>
      <c r="AC581" s="1"/>
      <c r="AF581" s="1"/>
    </row>
    <row r="582" spans="25:32" ht="14.4" x14ac:dyDescent="0.3">
      <c r="Y582" s="1"/>
      <c r="AB582" s="1"/>
      <c r="AC582" s="1"/>
      <c r="AF582" s="1"/>
    </row>
    <row r="583" spans="25:32" ht="14.4" x14ac:dyDescent="0.3">
      <c r="Y583" s="1"/>
      <c r="AB583" s="1"/>
      <c r="AC583" s="1"/>
      <c r="AF583" s="1"/>
    </row>
    <row r="584" spans="25:32" ht="14.4" x14ac:dyDescent="0.3">
      <c r="Y584" s="1"/>
      <c r="AB584" s="1"/>
      <c r="AC584" s="1"/>
      <c r="AF584" s="1"/>
    </row>
    <row r="585" spans="25:32" ht="14.4" x14ac:dyDescent="0.3">
      <c r="Y585" s="1"/>
      <c r="AB585" s="1"/>
      <c r="AC585" s="1"/>
      <c r="AF585" s="1"/>
    </row>
    <row r="586" spans="25:32" ht="14.4" x14ac:dyDescent="0.3">
      <c r="Y586" s="1"/>
      <c r="AB586" s="1"/>
      <c r="AC586" s="1"/>
      <c r="AF586" s="1"/>
    </row>
    <row r="587" spans="25:32" ht="14.4" x14ac:dyDescent="0.3">
      <c r="Y587" s="1"/>
      <c r="AB587" s="1"/>
      <c r="AC587" s="1"/>
      <c r="AF587" s="1"/>
    </row>
    <row r="588" spans="25:32" ht="14.4" x14ac:dyDescent="0.3">
      <c r="Y588" s="1"/>
      <c r="AB588" s="1"/>
      <c r="AC588" s="1"/>
      <c r="AF588" s="1"/>
    </row>
    <row r="589" spans="25:32" ht="14.4" x14ac:dyDescent="0.3">
      <c r="Y589" s="1"/>
      <c r="AB589" s="1"/>
      <c r="AC589" s="1"/>
      <c r="AF589" s="1"/>
    </row>
    <row r="590" spans="25:32" ht="14.4" x14ac:dyDescent="0.3">
      <c r="Y590" s="1"/>
      <c r="AB590" s="1"/>
      <c r="AC590" s="1"/>
      <c r="AF590" s="1"/>
    </row>
    <row r="591" spans="25:32" ht="14.4" x14ac:dyDescent="0.3">
      <c r="Y591" s="1"/>
      <c r="AB591" s="1"/>
      <c r="AC591" s="1"/>
      <c r="AF591" s="1"/>
    </row>
    <row r="592" spans="25:32" ht="14.4" x14ac:dyDescent="0.3">
      <c r="Y592" s="1"/>
      <c r="AB592" s="1"/>
      <c r="AC592" s="1"/>
      <c r="AF592" s="1"/>
    </row>
    <row r="593" spans="25:32" ht="14.4" x14ac:dyDescent="0.3">
      <c r="Y593" s="1"/>
      <c r="AB593" s="1"/>
      <c r="AC593" s="1"/>
      <c r="AF593" s="1"/>
    </row>
    <row r="594" spans="25:32" ht="14.4" x14ac:dyDescent="0.3">
      <c r="Y594" s="1"/>
      <c r="AB594" s="1"/>
      <c r="AC594" s="1"/>
      <c r="AF594" s="1"/>
    </row>
    <row r="595" spans="25:32" ht="14.4" x14ac:dyDescent="0.3">
      <c r="Y595" s="1"/>
      <c r="AB595" s="1"/>
      <c r="AC595" s="1"/>
      <c r="AF595" s="1"/>
    </row>
    <row r="596" spans="25:32" ht="14.4" x14ac:dyDescent="0.3">
      <c r="Y596" s="1"/>
      <c r="AB596" s="1"/>
      <c r="AC596" s="1"/>
      <c r="AF596" s="1"/>
    </row>
    <row r="597" spans="25:32" ht="14.4" x14ac:dyDescent="0.3">
      <c r="Y597" s="1"/>
      <c r="AB597" s="1"/>
      <c r="AC597" s="1"/>
      <c r="AF597" s="1"/>
    </row>
    <row r="598" spans="25:32" ht="14.4" x14ac:dyDescent="0.3">
      <c r="Y598" s="1"/>
      <c r="AB598" s="1"/>
      <c r="AC598" s="1"/>
      <c r="AF598" s="1"/>
    </row>
    <row r="599" spans="25:32" ht="14.4" x14ac:dyDescent="0.3">
      <c r="Y599" s="1"/>
      <c r="AB599" s="1"/>
      <c r="AC599" s="1"/>
      <c r="AF599" s="1"/>
    </row>
    <row r="600" spans="25:32" ht="14.4" x14ac:dyDescent="0.3">
      <c r="Y600" s="1"/>
      <c r="AB600" s="1"/>
      <c r="AC600" s="1"/>
      <c r="AF600" s="1"/>
    </row>
    <row r="601" spans="25:32" ht="14.4" x14ac:dyDescent="0.3">
      <c r="Y601" s="1"/>
      <c r="AB601" s="1"/>
      <c r="AC601" s="1"/>
      <c r="AF601" s="1"/>
    </row>
    <row r="602" spans="25:32" ht="14.4" x14ac:dyDescent="0.3">
      <c r="Y602" s="1"/>
      <c r="AB602" s="1"/>
      <c r="AC602" s="1"/>
      <c r="AF602" s="1"/>
    </row>
    <row r="603" spans="25:32" ht="14.4" x14ac:dyDescent="0.3">
      <c r="Y603" s="1"/>
      <c r="AB603" s="1"/>
      <c r="AC603" s="1"/>
      <c r="AF603" s="1"/>
    </row>
    <row r="604" spans="25:32" ht="14.4" x14ac:dyDescent="0.3">
      <c r="Y604" s="1"/>
      <c r="AB604" s="1"/>
      <c r="AC604" s="1"/>
      <c r="AF604" s="1"/>
    </row>
    <row r="605" spans="25:32" ht="14.4" x14ac:dyDescent="0.3">
      <c r="Y605" s="1"/>
      <c r="AB605" s="1"/>
      <c r="AC605" s="1"/>
      <c r="AF605" s="1"/>
    </row>
    <row r="606" spans="25:32" ht="14.4" x14ac:dyDescent="0.3">
      <c r="Y606" s="1"/>
      <c r="AB606" s="1"/>
      <c r="AC606" s="1"/>
      <c r="AF606" s="1"/>
    </row>
    <row r="607" spans="25:32" ht="14.4" x14ac:dyDescent="0.3">
      <c r="Y607" s="1"/>
      <c r="AB607" s="1"/>
      <c r="AC607" s="1"/>
      <c r="AF607" s="1"/>
    </row>
    <row r="608" spans="25:32" ht="14.4" x14ac:dyDescent="0.3">
      <c r="Y608" s="1"/>
      <c r="AB608" s="1"/>
      <c r="AC608" s="1"/>
      <c r="AF608" s="1"/>
    </row>
    <row r="609" spans="25:32" ht="14.4" x14ac:dyDescent="0.3">
      <c r="Y609" s="1"/>
      <c r="AB609" s="1"/>
      <c r="AC609" s="1"/>
      <c r="AF609" s="1"/>
    </row>
    <row r="610" spans="25:32" ht="14.4" x14ac:dyDescent="0.3">
      <c r="Y610" s="1"/>
      <c r="AB610" s="1"/>
      <c r="AC610" s="1"/>
      <c r="AF610" s="1"/>
    </row>
    <row r="611" spans="25:32" ht="14.4" x14ac:dyDescent="0.3">
      <c r="Y611" s="1"/>
      <c r="AB611" s="1"/>
      <c r="AC611" s="1"/>
      <c r="AF611" s="1"/>
    </row>
    <row r="612" spans="25:32" ht="14.4" x14ac:dyDescent="0.3">
      <c r="Y612" s="1"/>
      <c r="AB612" s="1"/>
      <c r="AC612" s="1"/>
      <c r="AF612" s="1"/>
    </row>
    <row r="613" spans="25:32" ht="14.4" x14ac:dyDescent="0.3">
      <c r="Y613" s="1"/>
      <c r="AB613" s="1"/>
      <c r="AC613" s="1"/>
      <c r="AF613" s="1"/>
    </row>
    <row r="614" spans="25:32" ht="14.4" x14ac:dyDescent="0.3">
      <c r="Y614" s="1"/>
      <c r="AB614" s="1"/>
      <c r="AC614" s="1"/>
      <c r="AF614" s="1"/>
    </row>
    <row r="615" spans="25:32" ht="14.4" x14ac:dyDescent="0.3">
      <c r="Y615" s="1"/>
      <c r="AB615" s="1"/>
      <c r="AC615" s="1"/>
      <c r="AF615" s="1"/>
    </row>
    <row r="616" spans="25:32" ht="14.4" x14ac:dyDescent="0.3">
      <c r="Y616" s="1"/>
      <c r="AB616" s="1"/>
      <c r="AC616" s="1"/>
      <c r="AF616" s="1"/>
    </row>
    <row r="617" spans="25:32" ht="14.4" x14ac:dyDescent="0.3">
      <c r="Y617" s="1"/>
      <c r="AB617" s="1"/>
      <c r="AC617" s="1"/>
      <c r="AF617" s="1"/>
    </row>
    <row r="618" spans="25:32" ht="14.4" x14ac:dyDescent="0.3">
      <c r="Y618" s="1"/>
      <c r="AB618" s="1"/>
      <c r="AC618" s="1"/>
      <c r="AF618" s="1"/>
    </row>
    <row r="619" spans="25:32" ht="14.4" x14ac:dyDescent="0.3">
      <c r="Y619" s="1"/>
      <c r="AB619" s="1"/>
      <c r="AC619" s="1"/>
      <c r="AF619" s="1"/>
    </row>
    <row r="620" spans="25:32" ht="14.4" x14ac:dyDescent="0.3">
      <c r="Y620" s="1"/>
      <c r="AB620" s="1"/>
      <c r="AC620" s="1"/>
      <c r="AF620" s="1"/>
    </row>
    <row r="621" spans="25:32" ht="14.4" x14ac:dyDescent="0.3">
      <c r="Y621" s="1"/>
      <c r="AB621" s="1"/>
      <c r="AC621" s="1"/>
      <c r="AF621" s="1"/>
    </row>
    <row r="622" spans="25:32" ht="14.4" x14ac:dyDescent="0.3">
      <c r="Y622" s="1"/>
      <c r="AB622" s="1"/>
      <c r="AC622" s="1"/>
      <c r="AF622" s="1"/>
    </row>
    <row r="623" spans="25:32" ht="14.4" x14ac:dyDescent="0.3">
      <c r="Y623" s="1"/>
      <c r="AB623" s="1"/>
      <c r="AC623" s="1"/>
      <c r="AF623" s="1"/>
    </row>
    <row r="624" spans="25:32" ht="14.4" x14ac:dyDescent="0.3">
      <c r="Y624" s="1"/>
      <c r="AB624" s="1"/>
      <c r="AC624" s="1"/>
      <c r="AF624" s="1"/>
    </row>
    <row r="625" spans="25:32" ht="14.4" x14ac:dyDescent="0.3">
      <c r="Y625" s="1"/>
      <c r="AB625" s="1"/>
      <c r="AC625" s="1"/>
      <c r="AF625" s="1"/>
    </row>
    <row r="626" spans="25:32" ht="14.4" x14ac:dyDescent="0.3">
      <c r="Y626" s="1"/>
      <c r="AB626" s="1"/>
      <c r="AC626" s="1"/>
      <c r="AF626" s="1"/>
    </row>
    <row r="627" spans="25:32" ht="14.4" x14ac:dyDescent="0.3">
      <c r="Y627" s="1"/>
      <c r="AB627" s="1"/>
      <c r="AC627" s="1"/>
      <c r="AF627" s="1"/>
    </row>
    <row r="628" spans="25:32" ht="14.4" x14ac:dyDescent="0.3">
      <c r="Y628" s="1"/>
      <c r="AB628" s="1"/>
      <c r="AC628" s="1"/>
      <c r="AF628" s="1"/>
    </row>
    <row r="629" spans="25:32" ht="14.4" x14ac:dyDescent="0.3">
      <c r="Y629" s="1"/>
      <c r="AB629" s="1"/>
      <c r="AC629" s="1"/>
      <c r="AF629" s="1"/>
    </row>
    <row r="630" spans="25:32" ht="14.4" x14ac:dyDescent="0.3">
      <c r="Y630" s="1"/>
      <c r="AB630" s="1"/>
      <c r="AC630" s="1"/>
      <c r="AF630" s="1"/>
    </row>
    <row r="631" spans="25:32" ht="14.4" x14ac:dyDescent="0.3">
      <c r="Y631" s="1"/>
      <c r="AB631" s="1"/>
      <c r="AC631" s="1"/>
      <c r="AF631" s="1"/>
    </row>
    <row r="632" spans="25:32" ht="14.4" x14ac:dyDescent="0.3">
      <c r="Y632" s="1"/>
      <c r="AB632" s="1"/>
      <c r="AC632" s="1"/>
      <c r="AF632" s="1"/>
    </row>
    <row r="633" spans="25:32" ht="14.4" x14ac:dyDescent="0.3">
      <c r="Y633" s="1"/>
      <c r="AB633" s="1"/>
      <c r="AC633" s="1"/>
      <c r="AF633" s="1"/>
    </row>
    <row r="634" spans="25:32" ht="14.4" x14ac:dyDescent="0.3">
      <c r="Y634" s="1"/>
      <c r="AB634" s="1"/>
      <c r="AC634" s="1"/>
      <c r="AF634" s="1"/>
    </row>
    <row r="635" spans="25:32" ht="14.4" x14ac:dyDescent="0.3">
      <c r="Y635" s="1"/>
      <c r="AB635" s="1"/>
      <c r="AC635" s="1"/>
      <c r="AF635" s="1"/>
    </row>
    <row r="636" spans="25:32" ht="14.4" x14ac:dyDescent="0.3">
      <c r="Y636" s="1"/>
      <c r="AB636" s="1"/>
      <c r="AC636" s="1"/>
      <c r="AF636" s="1"/>
    </row>
    <row r="637" spans="25:32" ht="14.4" x14ac:dyDescent="0.3">
      <c r="Y637" s="1"/>
      <c r="AB637" s="1"/>
      <c r="AC637" s="1"/>
      <c r="AF637" s="1"/>
    </row>
    <row r="638" spans="25:32" ht="14.4" x14ac:dyDescent="0.3">
      <c r="Y638" s="1"/>
      <c r="AB638" s="1"/>
      <c r="AC638" s="1"/>
      <c r="AF638" s="1"/>
    </row>
    <row r="639" spans="25:32" ht="14.4" x14ac:dyDescent="0.3">
      <c r="Y639" s="1"/>
      <c r="AB639" s="1"/>
      <c r="AC639" s="1"/>
      <c r="AF639" s="1"/>
    </row>
    <row r="640" spans="25:32" ht="14.4" x14ac:dyDescent="0.3">
      <c r="Y640" s="1"/>
      <c r="AB640" s="1"/>
      <c r="AC640" s="1"/>
      <c r="AF640" s="1"/>
    </row>
    <row r="641" spans="25:32" ht="14.4" x14ac:dyDescent="0.3">
      <c r="Y641" s="1"/>
      <c r="AB641" s="1"/>
      <c r="AC641" s="1"/>
      <c r="AF641" s="1"/>
    </row>
    <row r="642" spans="25:32" ht="14.4" x14ac:dyDescent="0.3">
      <c r="Y642" s="1"/>
      <c r="AB642" s="1"/>
      <c r="AC642" s="1"/>
      <c r="AF642" s="1"/>
    </row>
    <row r="643" spans="25:32" ht="14.4" x14ac:dyDescent="0.3">
      <c r="Y643" s="1"/>
      <c r="AB643" s="1"/>
      <c r="AC643" s="1"/>
      <c r="AF643" s="1"/>
    </row>
    <row r="644" spans="25:32" ht="14.4" x14ac:dyDescent="0.3">
      <c r="Y644" s="1"/>
      <c r="AB644" s="1"/>
      <c r="AC644" s="1"/>
      <c r="AF644" s="1"/>
    </row>
    <row r="645" spans="25:32" ht="14.4" x14ac:dyDescent="0.3">
      <c r="Y645" s="1"/>
      <c r="AB645" s="1"/>
      <c r="AC645" s="1"/>
      <c r="AF645" s="1"/>
    </row>
    <row r="646" spans="25:32" ht="14.4" x14ac:dyDescent="0.3">
      <c r="Y646" s="1"/>
      <c r="AB646" s="1"/>
      <c r="AC646" s="1"/>
      <c r="AF646" s="1"/>
    </row>
    <row r="647" spans="25:32" ht="14.4" x14ac:dyDescent="0.3">
      <c r="Y647" s="1"/>
      <c r="AB647" s="1"/>
      <c r="AC647" s="1"/>
      <c r="AF647" s="1"/>
    </row>
    <row r="648" spans="25:32" ht="14.4" x14ac:dyDescent="0.3">
      <c r="Y648" s="1"/>
      <c r="AB648" s="1"/>
      <c r="AC648" s="1"/>
      <c r="AF648" s="1"/>
    </row>
    <row r="649" spans="25:32" ht="14.4" x14ac:dyDescent="0.3">
      <c r="Y649" s="1"/>
      <c r="AB649" s="1"/>
      <c r="AC649" s="1"/>
      <c r="AF649" s="1"/>
    </row>
    <row r="650" spans="25:32" ht="14.4" x14ac:dyDescent="0.3">
      <c r="Y650" s="1"/>
      <c r="AB650" s="1"/>
      <c r="AC650" s="1"/>
      <c r="AF650" s="1"/>
    </row>
    <row r="651" spans="25:32" ht="14.4" x14ac:dyDescent="0.3">
      <c r="Y651" s="1"/>
      <c r="AB651" s="1"/>
      <c r="AC651" s="1"/>
      <c r="AF651" s="1"/>
    </row>
    <row r="652" spans="25:32" ht="14.4" x14ac:dyDescent="0.3">
      <c r="Y652" s="1"/>
      <c r="AB652" s="1"/>
      <c r="AC652" s="1"/>
      <c r="AF652" s="1"/>
    </row>
    <row r="653" spans="25:32" ht="14.4" x14ac:dyDescent="0.3">
      <c r="Y653" s="1"/>
      <c r="AB653" s="1"/>
      <c r="AC653" s="1"/>
      <c r="AF653" s="1"/>
    </row>
    <row r="654" spans="25:32" ht="14.4" x14ac:dyDescent="0.3">
      <c r="Y654" s="1"/>
      <c r="AB654" s="1"/>
      <c r="AC654" s="1"/>
      <c r="AF654" s="1"/>
    </row>
    <row r="655" spans="25:32" ht="14.4" x14ac:dyDescent="0.3">
      <c r="Y655" s="1"/>
      <c r="AB655" s="1"/>
      <c r="AC655" s="1"/>
      <c r="AF655" s="1"/>
    </row>
    <row r="656" spans="25:32" ht="14.4" x14ac:dyDescent="0.3">
      <c r="Y656" s="1"/>
      <c r="AB656" s="1"/>
      <c r="AC656" s="1"/>
      <c r="AF656" s="1"/>
    </row>
    <row r="657" spans="25:32" ht="14.4" x14ac:dyDescent="0.3">
      <c r="Y657" s="1"/>
      <c r="AB657" s="1"/>
      <c r="AC657" s="1"/>
      <c r="AF657" s="1"/>
    </row>
    <row r="658" spans="25:32" ht="14.4" x14ac:dyDescent="0.3">
      <c r="Y658" s="1"/>
      <c r="AB658" s="1"/>
      <c r="AC658" s="1"/>
      <c r="AF658" s="1"/>
    </row>
    <row r="659" spans="25:32" ht="14.4" x14ac:dyDescent="0.3">
      <c r="Y659" s="1"/>
      <c r="AB659" s="1"/>
      <c r="AC659" s="1"/>
      <c r="AF659" s="1"/>
    </row>
    <row r="660" spans="25:32" ht="14.4" x14ac:dyDescent="0.3">
      <c r="Y660" s="1"/>
      <c r="AB660" s="1"/>
      <c r="AC660" s="1"/>
      <c r="AF660" s="1"/>
    </row>
    <row r="661" spans="25:32" ht="14.4" x14ac:dyDescent="0.3">
      <c r="Y661" s="1"/>
      <c r="AB661" s="1"/>
      <c r="AC661" s="1"/>
      <c r="AF661" s="1"/>
    </row>
    <row r="662" spans="25:32" ht="14.4" x14ac:dyDescent="0.3">
      <c r="Y662" s="1"/>
      <c r="AB662" s="1"/>
      <c r="AC662" s="1"/>
      <c r="AF662" s="1"/>
    </row>
    <row r="663" spans="25:32" ht="14.4" x14ac:dyDescent="0.3">
      <c r="Y663" s="1"/>
      <c r="AB663" s="1"/>
      <c r="AC663" s="1"/>
      <c r="AF663" s="1"/>
    </row>
    <row r="664" spans="25:32" ht="14.4" x14ac:dyDescent="0.3">
      <c r="Y664" s="1"/>
      <c r="AB664" s="1"/>
      <c r="AC664" s="1"/>
      <c r="AF664" s="1"/>
    </row>
    <row r="665" spans="25:32" ht="14.4" x14ac:dyDescent="0.3">
      <c r="Y665" s="1"/>
      <c r="AB665" s="1"/>
      <c r="AC665" s="1"/>
      <c r="AF665" s="1"/>
    </row>
    <row r="666" spans="25:32" ht="14.4" x14ac:dyDescent="0.3">
      <c r="Y666" s="1"/>
      <c r="AB666" s="1"/>
      <c r="AC666" s="1"/>
      <c r="AF666" s="1"/>
    </row>
    <row r="667" spans="25:32" ht="14.4" x14ac:dyDescent="0.3">
      <c r="Y667" s="1"/>
      <c r="AB667" s="1"/>
      <c r="AC667" s="1"/>
      <c r="AF667" s="1"/>
    </row>
    <row r="668" spans="25:32" ht="14.4" x14ac:dyDescent="0.3">
      <c r="Y668" s="1"/>
      <c r="AB668" s="1"/>
      <c r="AC668" s="1"/>
      <c r="AF668" s="1"/>
    </row>
    <row r="669" spans="25:32" ht="14.4" x14ac:dyDescent="0.3">
      <c r="Y669" s="1"/>
      <c r="AB669" s="1"/>
      <c r="AC669" s="1"/>
      <c r="AF669" s="1"/>
    </row>
    <row r="670" spans="25:32" ht="14.4" x14ac:dyDescent="0.3">
      <c r="Y670" s="1"/>
      <c r="AB670" s="1"/>
      <c r="AC670" s="1"/>
      <c r="AF670" s="1"/>
    </row>
    <row r="671" spans="25:32" ht="14.4" x14ac:dyDescent="0.3">
      <c r="Y671" s="1"/>
      <c r="AB671" s="1"/>
      <c r="AC671" s="1"/>
      <c r="AF671" s="1"/>
    </row>
    <row r="672" spans="25:32" ht="14.4" x14ac:dyDescent="0.3">
      <c r="Y672" s="1"/>
      <c r="AB672" s="1"/>
      <c r="AC672" s="1"/>
      <c r="AF672" s="1"/>
    </row>
    <row r="673" spans="25:32" ht="14.4" x14ac:dyDescent="0.3">
      <c r="Y673" s="1"/>
      <c r="AB673" s="1"/>
      <c r="AC673" s="1"/>
      <c r="AF673" s="1"/>
    </row>
    <row r="674" spans="25:32" ht="14.4" x14ac:dyDescent="0.3">
      <c r="Y674" s="1"/>
      <c r="AB674" s="1"/>
      <c r="AC674" s="1"/>
      <c r="AF674" s="1"/>
    </row>
    <row r="675" spans="25:32" ht="14.4" x14ac:dyDescent="0.3">
      <c r="Y675" s="1"/>
      <c r="AB675" s="1"/>
      <c r="AC675" s="1"/>
      <c r="AF675" s="1"/>
    </row>
    <row r="676" spans="25:32" ht="14.4" x14ac:dyDescent="0.3">
      <c r="Y676" s="1"/>
      <c r="AB676" s="1"/>
      <c r="AC676" s="1"/>
      <c r="AF676" s="1"/>
    </row>
    <row r="677" spans="25:32" ht="14.4" x14ac:dyDescent="0.3">
      <c r="Y677" s="1"/>
      <c r="AB677" s="1"/>
      <c r="AC677" s="1"/>
      <c r="AF677" s="1"/>
    </row>
    <row r="678" spans="25:32" ht="14.4" x14ac:dyDescent="0.3">
      <c r="Y678" s="1"/>
      <c r="AB678" s="1"/>
      <c r="AC678" s="1"/>
      <c r="AF678" s="1"/>
    </row>
    <row r="679" spans="25:32" ht="14.4" x14ac:dyDescent="0.3">
      <c r="Y679" s="1"/>
      <c r="AB679" s="1"/>
      <c r="AC679" s="1"/>
      <c r="AF679" s="1"/>
    </row>
    <row r="680" spans="25:32" ht="14.4" x14ac:dyDescent="0.3">
      <c r="Y680" s="1"/>
      <c r="AB680" s="1"/>
      <c r="AC680" s="1"/>
      <c r="AF680" s="1"/>
    </row>
    <row r="681" spans="25:32" ht="14.4" x14ac:dyDescent="0.3">
      <c r="Y681" s="1"/>
      <c r="AB681" s="1"/>
      <c r="AC681" s="1"/>
      <c r="AF681" s="1"/>
    </row>
    <row r="682" spans="25:32" ht="14.4" x14ac:dyDescent="0.3">
      <c r="Y682" s="1"/>
      <c r="AB682" s="1"/>
      <c r="AC682" s="1"/>
      <c r="AF682" s="1"/>
    </row>
    <row r="683" spans="25:32" ht="14.4" x14ac:dyDescent="0.3">
      <c r="Y683" s="1"/>
      <c r="AB683" s="1"/>
      <c r="AC683" s="1"/>
      <c r="AF683" s="1"/>
    </row>
    <row r="684" spans="25:32" ht="14.4" x14ac:dyDescent="0.3">
      <c r="Y684" s="1"/>
      <c r="AB684" s="1"/>
      <c r="AC684" s="1"/>
      <c r="AF684" s="1"/>
    </row>
    <row r="685" spans="25:32" ht="14.4" x14ac:dyDescent="0.3">
      <c r="Y685" s="1"/>
      <c r="AB685" s="1"/>
      <c r="AC685" s="1"/>
      <c r="AF685" s="1"/>
    </row>
    <row r="686" spans="25:32" ht="14.4" x14ac:dyDescent="0.3">
      <c r="Y686" s="1"/>
      <c r="AB686" s="1"/>
      <c r="AC686" s="1"/>
      <c r="AF686" s="1"/>
    </row>
    <row r="687" spans="25:32" ht="14.4" x14ac:dyDescent="0.3">
      <c r="Y687" s="1"/>
      <c r="AB687" s="1"/>
      <c r="AC687" s="1"/>
      <c r="AF687" s="1"/>
    </row>
    <row r="688" spans="25:32" ht="14.4" x14ac:dyDescent="0.3">
      <c r="Y688" s="1"/>
      <c r="AB688" s="1"/>
      <c r="AC688" s="1"/>
      <c r="AF688" s="1"/>
    </row>
    <row r="689" spans="25:32" ht="14.4" x14ac:dyDescent="0.3">
      <c r="Y689" s="1"/>
      <c r="AB689" s="1"/>
      <c r="AC689" s="1"/>
      <c r="AF689" s="1"/>
    </row>
    <row r="690" spans="25:32" ht="14.4" x14ac:dyDescent="0.3">
      <c r="Y690" s="1"/>
      <c r="AB690" s="1"/>
      <c r="AC690" s="1"/>
      <c r="AF690" s="1"/>
    </row>
    <row r="691" spans="25:32" ht="14.4" x14ac:dyDescent="0.3">
      <c r="Y691" s="1"/>
      <c r="AB691" s="1"/>
      <c r="AC691" s="1"/>
      <c r="AF691" s="1"/>
    </row>
    <row r="692" spans="25:32" ht="14.4" x14ac:dyDescent="0.3">
      <c r="Y692" s="1"/>
      <c r="AB692" s="1"/>
      <c r="AC692" s="1"/>
      <c r="AF692" s="1"/>
    </row>
    <row r="693" spans="25:32" ht="14.4" x14ac:dyDescent="0.3">
      <c r="Y693" s="1"/>
      <c r="AB693" s="1"/>
      <c r="AC693" s="1"/>
      <c r="AF693" s="1"/>
    </row>
    <row r="694" spans="25:32" ht="14.4" x14ac:dyDescent="0.3">
      <c r="Y694" s="1"/>
      <c r="AB694" s="1"/>
      <c r="AC694" s="1"/>
      <c r="AF694" s="1"/>
    </row>
    <row r="695" spans="25:32" ht="14.4" x14ac:dyDescent="0.3">
      <c r="Y695" s="1"/>
      <c r="AB695" s="1"/>
      <c r="AC695" s="1"/>
      <c r="AF695" s="1"/>
    </row>
    <row r="696" spans="25:32" ht="14.4" x14ac:dyDescent="0.3">
      <c r="Y696" s="1"/>
      <c r="AB696" s="1"/>
      <c r="AC696" s="1"/>
      <c r="AF696" s="1"/>
    </row>
    <row r="697" spans="25:32" ht="14.4" x14ac:dyDescent="0.3">
      <c r="Y697" s="1"/>
      <c r="AB697" s="1"/>
      <c r="AC697" s="1"/>
      <c r="AF697" s="1"/>
    </row>
    <row r="698" spans="25:32" ht="14.4" x14ac:dyDescent="0.3">
      <c r="Y698" s="1"/>
      <c r="AB698" s="1"/>
      <c r="AC698" s="1"/>
      <c r="AF698" s="1"/>
    </row>
    <row r="699" spans="25:32" ht="14.4" x14ac:dyDescent="0.3">
      <c r="Y699" s="1"/>
      <c r="AB699" s="1"/>
      <c r="AC699" s="1"/>
      <c r="AF699" s="1"/>
    </row>
    <row r="700" spans="25:32" ht="14.4" x14ac:dyDescent="0.3">
      <c r="Y700" s="1"/>
      <c r="AB700" s="1"/>
      <c r="AC700" s="1"/>
      <c r="AF700" s="1"/>
    </row>
    <row r="701" spans="25:32" ht="14.4" x14ac:dyDescent="0.3">
      <c r="Y701" s="1"/>
      <c r="AB701" s="1"/>
      <c r="AC701" s="1"/>
      <c r="AF701" s="1"/>
    </row>
    <row r="702" spans="25:32" ht="14.4" x14ac:dyDescent="0.3">
      <c r="Y702" s="1"/>
      <c r="AB702" s="1"/>
      <c r="AC702" s="1"/>
      <c r="AF702" s="1"/>
    </row>
    <row r="703" spans="25:32" ht="14.4" x14ac:dyDescent="0.3">
      <c r="Y703" s="1"/>
      <c r="AB703" s="1"/>
      <c r="AC703" s="1"/>
      <c r="AF703" s="1"/>
    </row>
    <row r="704" spans="25:32" ht="14.4" x14ac:dyDescent="0.3">
      <c r="Y704" s="1"/>
      <c r="AB704" s="1"/>
      <c r="AC704" s="1"/>
      <c r="AF704" s="1"/>
    </row>
    <row r="705" spans="25:32" ht="14.4" x14ac:dyDescent="0.3">
      <c r="Y705" s="1"/>
      <c r="AB705" s="1"/>
      <c r="AC705" s="1"/>
      <c r="AF705" s="1"/>
    </row>
    <row r="706" spans="25:32" ht="14.4" x14ac:dyDescent="0.3">
      <c r="Y706" s="1"/>
      <c r="AB706" s="1"/>
      <c r="AC706" s="1"/>
      <c r="AF706" s="1"/>
    </row>
    <row r="707" spans="25:32" ht="14.4" x14ac:dyDescent="0.3">
      <c r="Y707" s="1"/>
      <c r="AB707" s="1"/>
      <c r="AC707" s="1"/>
      <c r="AF707" s="1"/>
    </row>
    <row r="708" spans="25:32" ht="14.4" x14ac:dyDescent="0.3">
      <c r="Y708" s="1"/>
      <c r="AB708" s="1"/>
      <c r="AC708" s="1"/>
      <c r="AF708" s="1"/>
    </row>
    <row r="709" spans="25:32" ht="14.4" x14ac:dyDescent="0.3">
      <c r="Y709" s="1"/>
      <c r="AB709" s="1"/>
      <c r="AC709" s="1"/>
      <c r="AF709" s="1"/>
    </row>
    <row r="710" spans="25:32" ht="14.4" x14ac:dyDescent="0.3">
      <c r="Y710" s="1"/>
      <c r="AB710" s="1"/>
      <c r="AC710" s="1"/>
      <c r="AF710" s="1"/>
    </row>
    <row r="711" spans="25:32" ht="14.4" x14ac:dyDescent="0.3">
      <c r="Y711" s="1"/>
      <c r="AB711" s="1"/>
      <c r="AC711" s="1"/>
      <c r="AF711" s="1"/>
    </row>
    <row r="712" spans="25:32" ht="14.4" x14ac:dyDescent="0.3">
      <c r="Y712" s="1"/>
      <c r="AB712" s="1"/>
      <c r="AC712" s="1"/>
      <c r="AF712" s="1"/>
    </row>
    <row r="713" spans="25:32" ht="14.4" x14ac:dyDescent="0.3">
      <c r="Y713" s="1"/>
      <c r="AB713" s="1"/>
      <c r="AC713" s="1"/>
      <c r="AF713" s="1"/>
    </row>
    <row r="714" spans="25:32" ht="14.4" x14ac:dyDescent="0.3">
      <c r="Y714" s="1"/>
      <c r="AB714" s="1"/>
      <c r="AC714" s="1"/>
      <c r="AF714" s="1"/>
    </row>
    <row r="715" spans="25:32" ht="14.4" x14ac:dyDescent="0.3">
      <c r="Y715" s="1"/>
      <c r="AB715" s="1"/>
      <c r="AC715" s="1"/>
      <c r="AF715" s="1"/>
    </row>
    <row r="716" spans="25:32" ht="14.4" x14ac:dyDescent="0.3">
      <c r="Y716" s="1"/>
      <c r="AB716" s="1"/>
      <c r="AC716" s="1"/>
      <c r="AF716" s="1"/>
    </row>
    <row r="717" spans="25:32" ht="14.4" x14ac:dyDescent="0.3">
      <c r="Y717" s="1"/>
      <c r="AB717" s="1"/>
      <c r="AC717" s="1"/>
      <c r="AF717" s="1"/>
    </row>
    <row r="718" spans="25:32" ht="14.4" x14ac:dyDescent="0.3">
      <c r="Y718" s="1"/>
      <c r="AB718" s="1"/>
      <c r="AC718" s="1"/>
      <c r="AF718" s="1"/>
    </row>
    <row r="719" spans="25:32" ht="14.4" x14ac:dyDescent="0.3">
      <c r="Y719" s="1"/>
      <c r="AB719" s="1"/>
      <c r="AC719" s="1"/>
      <c r="AF719" s="1"/>
    </row>
    <row r="720" spans="25:32" ht="14.4" x14ac:dyDescent="0.3">
      <c r="Y720" s="1"/>
      <c r="AB720" s="1"/>
      <c r="AC720" s="1"/>
      <c r="AF720" s="1"/>
    </row>
    <row r="721" spans="25:32" ht="14.4" x14ac:dyDescent="0.3">
      <c r="Y721" s="1"/>
      <c r="AB721" s="1"/>
      <c r="AC721" s="1"/>
      <c r="AF721" s="1"/>
    </row>
    <row r="722" spans="25:32" ht="14.4" x14ac:dyDescent="0.3">
      <c r="Y722" s="1"/>
      <c r="AB722" s="1"/>
      <c r="AC722" s="1"/>
      <c r="AF722" s="1"/>
    </row>
    <row r="723" spans="25:32" ht="14.4" x14ac:dyDescent="0.3">
      <c r="Y723" s="1"/>
      <c r="AB723" s="1"/>
      <c r="AC723" s="1"/>
      <c r="AF723" s="1"/>
    </row>
    <row r="724" spans="25:32" ht="14.4" x14ac:dyDescent="0.3">
      <c r="Y724" s="1"/>
      <c r="AB724" s="1"/>
      <c r="AC724" s="1"/>
      <c r="AF724" s="1"/>
    </row>
    <row r="725" spans="25:32" ht="14.4" x14ac:dyDescent="0.3">
      <c r="Y725" s="1"/>
      <c r="AB725" s="1"/>
      <c r="AC725" s="1"/>
      <c r="AF725" s="1"/>
    </row>
    <row r="726" spans="25:32" ht="14.4" x14ac:dyDescent="0.3">
      <c r="Y726" s="1"/>
      <c r="AB726" s="1"/>
      <c r="AC726" s="1"/>
      <c r="AF726" s="1"/>
    </row>
    <row r="727" spans="25:32" ht="14.4" x14ac:dyDescent="0.3">
      <c r="Y727" s="1"/>
      <c r="AB727" s="1"/>
      <c r="AC727" s="1"/>
      <c r="AF727" s="1"/>
    </row>
    <row r="728" spans="25:32" ht="14.4" x14ac:dyDescent="0.3">
      <c r="Y728" s="1"/>
      <c r="AB728" s="1"/>
      <c r="AC728" s="1"/>
      <c r="AF728" s="1"/>
    </row>
    <row r="729" spans="25:32" ht="14.4" x14ac:dyDescent="0.3">
      <c r="Y729" s="1"/>
      <c r="AB729" s="1"/>
      <c r="AC729" s="1"/>
      <c r="AF729" s="1"/>
    </row>
    <row r="730" spans="25:32" ht="14.4" x14ac:dyDescent="0.3">
      <c r="Y730" s="1"/>
      <c r="AB730" s="1"/>
      <c r="AC730" s="1"/>
      <c r="AF730" s="1"/>
    </row>
    <row r="731" spans="25:32" ht="14.4" x14ac:dyDescent="0.3">
      <c r="Y731" s="1"/>
      <c r="AB731" s="1"/>
      <c r="AC731" s="1"/>
      <c r="AF731" s="1"/>
    </row>
    <row r="732" spans="25:32" ht="14.4" x14ac:dyDescent="0.3">
      <c r="Y732" s="1"/>
      <c r="AB732" s="1"/>
      <c r="AC732" s="1"/>
      <c r="AF732" s="1"/>
    </row>
    <row r="733" spans="25:32" ht="14.4" x14ac:dyDescent="0.3">
      <c r="Y733" s="1"/>
      <c r="AB733" s="1"/>
      <c r="AC733" s="1"/>
      <c r="AF733" s="1"/>
    </row>
    <row r="734" spans="25:32" ht="14.4" x14ac:dyDescent="0.3">
      <c r="Y734" s="1"/>
      <c r="AB734" s="1"/>
      <c r="AC734" s="1"/>
      <c r="AF734" s="1"/>
    </row>
    <row r="735" spans="25:32" ht="14.4" x14ac:dyDescent="0.3">
      <c r="Y735" s="1"/>
      <c r="AB735" s="1"/>
      <c r="AC735" s="1"/>
      <c r="AF735" s="1"/>
    </row>
    <row r="736" spans="25:32" ht="14.4" x14ac:dyDescent="0.3">
      <c r="Y736" s="1"/>
      <c r="AB736" s="1"/>
      <c r="AC736" s="1"/>
      <c r="AF736" s="1"/>
    </row>
    <row r="737" spans="25:32" ht="14.4" x14ac:dyDescent="0.3">
      <c r="Y737" s="1"/>
      <c r="AB737" s="1"/>
      <c r="AC737" s="1"/>
      <c r="AF737" s="1"/>
    </row>
    <row r="738" spans="25:32" ht="14.4" x14ac:dyDescent="0.3">
      <c r="Y738" s="1"/>
      <c r="AB738" s="1"/>
      <c r="AC738" s="1"/>
      <c r="AF738" s="1"/>
    </row>
    <row r="739" spans="25:32" ht="14.4" x14ac:dyDescent="0.3">
      <c r="Y739" s="1"/>
      <c r="AB739" s="1"/>
      <c r="AC739" s="1"/>
      <c r="AF739" s="1"/>
    </row>
    <row r="740" spans="25:32" ht="14.4" x14ac:dyDescent="0.3">
      <c r="Y740" s="1"/>
      <c r="AB740" s="1"/>
      <c r="AC740" s="1"/>
      <c r="AF740" s="1"/>
    </row>
    <row r="741" spans="25:32" ht="14.4" x14ac:dyDescent="0.3">
      <c r="Y741" s="1"/>
      <c r="AB741" s="1"/>
      <c r="AC741" s="1"/>
      <c r="AF741" s="1"/>
    </row>
    <row r="742" spans="25:32" ht="14.4" x14ac:dyDescent="0.3">
      <c r="Y742" s="1"/>
      <c r="AB742" s="1"/>
      <c r="AC742" s="1"/>
      <c r="AF742" s="1"/>
    </row>
    <row r="743" spans="25:32" ht="14.4" x14ac:dyDescent="0.3">
      <c r="Y743" s="1"/>
      <c r="AB743" s="1"/>
      <c r="AC743" s="1"/>
      <c r="AF743" s="1"/>
    </row>
    <row r="744" spans="25:32" ht="14.4" x14ac:dyDescent="0.3">
      <c r="Y744" s="1"/>
      <c r="AB744" s="1"/>
      <c r="AC744" s="1"/>
      <c r="AF744" s="1"/>
    </row>
    <row r="745" spans="25:32" ht="14.4" x14ac:dyDescent="0.3">
      <c r="Y745" s="1"/>
      <c r="AB745" s="1"/>
      <c r="AC745" s="1"/>
      <c r="AF745" s="1"/>
    </row>
    <row r="746" spans="25:32" ht="14.4" x14ac:dyDescent="0.3">
      <c r="Y746" s="1"/>
      <c r="AB746" s="1"/>
      <c r="AC746" s="1"/>
      <c r="AF746" s="1"/>
    </row>
    <row r="747" spans="25:32" ht="14.4" x14ac:dyDescent="0.3">
      <c r="Y747" s="1"/>
      <c r="AB747" s="1"/>
      <c r="AC747" s="1"/>
      <c r="AF747" s="1"/>
    </row>
    <row r="748" spans="25:32" ht="14.4" x14ac:dyDescent="0.3">
      <c r="Y748" s="1"/>
      <c r="AB748" s="1"/>
      <c r="AC748" s="1"/>
      <c r="AF748" s="1"/>
    </row>
    <row r="749" spans="25:32" ht="14.4" x14ac:dyDescent="0.3">
      <c r="Y749" s="1"/>
      <c r="AB749" s="1"/>
      <c r="AC749" s="1"/>
      <c r="AF749" s="1"/>
    </row>
    <row r="750" spans="25:32" ht="14.4" x14ac:dyDescent="0.3">
      <c r="Y750" s="1"/>
      <c r="AB750" s="1"/>
      <c r="AC750" s="1"/>
      <c r="AF750" s="1"/>
    </row>
    <row r="751" spans="25:32" ht="14.4" x14ac:dyDescent="0.3">
      <c r="Y751" s="1"/>
      <c r="AB751" s="1"/>
      <c r="AC751" s="1"/>
      <c r="AF751" s="1"/>
    </row>
    <row r="752" spans="25:32" ht="14.4" x14ac:dyDescent="0.3">
      <c r="Y752" s="1"/>
      <c r="AB752" s="1"/>
      <c r="AC752" s="1"/>
      <c r="AF752" s="1"/>
    </row>
    <row r="753" spans="25:32" ht="14.4" x14ac:dyDescent="0.3">
      <c r="Y753" s="1"/>
      <c r="AB753" s="1"/>
      <c r="AC753" s="1"/>
      <c r="AF753" s="1"/>
    </row>
    <row r="754" spans="25:32" ht="14.4" x14ac:dyDescent="0.3">
      <c r="Y754" s="1"/>
      <c r="AB754" s="1"/>
      <c r="AC754" s="1"/>
      <c r="AF754" s="1"/>
    </row>
    <row r="755" spans="25:32" ht="14.4" x14ac:dyDescent="0.3">
      <c r="Y755" s="1"/>
      <c r="AB755" s="1"/>
      <c r="AC755" s="1"/>
      <c r="AF755" s="1"/>
    </row>
    <row r="756" spans="25:32" ht="14.4" x14ac:dyDescent="0.3">
      <c r="Y756" s="1"/>
      <c r="AB756" s="1"/>
      <c r="AC756" s="1"/>
      <c r="AF756" s="1"/>
    </row>
    <row r="757" spans="25:32" ht="14.4" x14ac:dyDescent="0.3">
      <c r="Y757" s="1"/>
      <c r="AB757" s="1"/>
      <c r="AC757" s="1"/>
      <c r="AF757" s="1"/>
    </row>
    <row r="758" spans="25:32" ht="14.4" x14ac:dyDescent="0.3">
      <c r="Y758" s="1"/>
      <c r="AB758" s="1"/>
      <c r="AC758" s="1"/>
      <c r="AF758" s="1"/>
    </row>
    <row r="759" spans="25:32" ht="14.4" x14ac:dyDescent="0.3">
      <c r="Y759" s="1"/>
      <c r="AB759" s="1"/>
      <c r="AC759" s="1"/>
      <c r="AF759" s="1"/>
    </row>
    <row r="760" spans="25:32" ht="14.4" x14ac:dyDescent="0.3">
      <c r="Y760" s="1"/>
      <c r="AB760" s="1"/>
      <c r="AC760" s="1"/>
      <c r="AF760" s="1"/>
    </row>
    <row r="761" spans="25:32" ht="14.4" x14ac:dyDescent="0.3">
      <c r="Y761" s="1"/>
      <c r="AB761" s="1"/>
      <c r="AC761" s="1"/>
      <c r="AF761" s="1"/>
    </row>
    <row r="762" spans="25:32" ht="14.4" x14ac:dyDescent="0.3">
      <c r="Y762" s="1"/>
      <c r="AB762" s="1"/>
      <c r="AC762" s="1"/>
      <c r="AF762" s="1"/>
    </row>
    <row r="763" spans="25:32" ht="14.4" x14ac:dyDescent="0.3">
      <c r="Y763" s="1"/>
      <c r="AB763" s="1"/>
      <c r="AC763" s="1"/>
      <c r="AF763" s="1"/>
    </row>
    <row r="764" spans="25:32" ht="14.4" x14ac:dyDescent="0.3">
      <c r="Y764" s="1"/>
      <c r="AB764" s="1"/>
      <c r="AC764" s="1"/>
      <c r="AF764" s="1"/>
    </row>
    <row r="765" spans="25:32" ht="14.4" x14ac:dyDescent="0.3">
      <c r="Y765" s="1"/>
      <c r="AB765" s="1"/>
      <c r="AC765" s="1"/>
      <c r="AF765" s="1"/>
    </row>
    <row r="766" spans="25:32" ht="14.4" x14ac:dyDescent="0.3">
      <c r="Y766" s="1"/>
      <c r="AB766" s="1"/>
      <c r="AC766" s="1"/>
      <c r="AF766" s="1"/>
    </row>
    <row r="767" spans="25:32" ht="14.4" x14ac:dyDescent="0.3">
      <c r="Y767" s="1"/>
      <c r="AB767" s="1"/>
      <c r="AC767" s="1"/>
      <c r="AF767" s="1"/>
    </row>
    <row r="768" spans="25:32" ht="14.4" x14ac:dyDescent="0.3">
      <c r="Y768" s="1"/>
      <c r="AB768" s="1"/>
      <c r="AC768" s="1"/>
      <c r="AF768" s="1"/>
    </row>
    <row r="769" spans="25:32" ht="14.4" x14ac:dyDescent="0.3">
      <c r="Y769" s="1"/>
      <c r="AB769" s="1"/>
      <c r="AC769" s="1"/>
      <c r="AF769" s="1"/>
    </row>
    <row r="770" spans="25:32" ht="14.4" x14ac:dyDescent="0.3">
      <c r="Y770" s="1"/>
      <c r="AB770" s="1"/>
      <c r="AC770" s="1"/>
      <c r="AF770" s="1"/>
    </row>
    <row r="771" spans="25:32" ht="14.4" x14ac:dyDescent="0.3">
      <c r="Y771" s="1"/>
      <c r="AB771" s="1"/>
      <c r="AC771" s="1"/>
      <c r="AF771" s="1"/>
    </row>
    <row r="772" spans="25:32" ht="14.4" x14ac:dyDescent="0.3">
      <c r="Y772" s="1"/>
      <c r="AB772" s="1"/>
      <c r="AC772" s="1"/>
      <c r="AF772" s="1"/>
    </row>
    <row r="773" spans="25:32" ht="14.4" x14ac:dyDescent="0.3">
      <c r="Y773" s="1"/>
      <c r="AB773" s="1"/>
      <c r="AC773" s="1"/>
      <c r="AF773" s="1"/>
    </row>
    <row r="774" spans="25:32" ht="14.4" x14ac:dyDescent="0.3">
      <c r="Y774" s="1"/>
      <c r="AB774" s="1"/>
      <c r="AC774" s="1"/>
      <c r="AF774" s="1"/>
    </row>
    <row r="775" spans="25:32" ht="14.4" x14ac:dyDescent="0.3">
      <c r="Y775" s="1"/>
      <c r="AB775" s="1"/>
      <c r="AC775" s="1"/>
      <c r="AF775" s="1"/>
    </row>
    <row r="776" spans="25:32" ht="14.4" x14ac:dyDescent="0.3">
      <c r="Y776" s="1"/>
      <c r="AB776" s="1"/>
      <c r="AC776" s="1"/>
      <c r="AF776" s="1"/>
    </row>
    <row r="777" spans="25:32" ht="14.4" x14ac:dyDescent="0.3">
      <c r="Y777" s="1"/>
      <c r="AB777" s="1"/>
      <c r="AC777" s="1"/>
      <c r="AF777" s="1"/>
    </row>
    <row r="778" spans="25:32" ht="14.4" x14ac:dyDescent="0.3">
      <c r="Y778" s="1"/>
      <c r="AB778" s="1"/>
      <c r="AC778" s="1"/>
      <c r="AF778" s="1"/>
    </row>
    <row r="779" spans="25:32" ht="14.4" x14ac:dyDescent="0.3">
      <c r="Y779" s="1"/>
      <c r="AB779" s="1"/>
      <c r="AC779" s="1"/>
      <c r="AF779" s="1"/>
    </row>
    <row r="780" spans="25:32" ht="14.4" x14ac:dyDescent="0.3">
      <c r="Y780" s="1"/>
      <c r="AB780" s="1"/>
      <c r="AC780" s="1"/>
      <c r="AF780" s="1"/>
    </row>
    <row r="781" spans="25:32" ht="14.4" x14ac:dyDescent="0.3">
      <c r="Y781" s="1"/>
      <c r="AB781" s="1"/>
      <c r="AC781" s="1"/>
      <c r="AF781" s="1"/>
    </row>
    <row r="782" spans="25:32" ht="14.4" x14ac:dyDescent="0.3">
      <c r="Y782" s="1"/>
      <c r="AB782" s="1"/>
      <c r="AC782" s="1"/>
      <c r="AF782" s="1"/>
    </row>
    <row r="783" spans="25:32" ht="14.4" x14ac:dyDescent="0.3">
      <c r="Y783" s="1"/>
      <c r="AB783" s="1"/>
      <c r="AC783" s="1"/>
      <c r="AF783" s="1"/>
    </row>
    <row r="784" spans="25:32" ht="14.4" x14ac:dyDescent="0.3">
      <c r="Y784" s="1"/>
      <c r="AB784" s="1"/>
      <c r="AC784" s="1"/>
      <c r="AF784" s="1"/>
    </row>
    <row r="785" spans="25:32" ht="14.4" x14ac:dyDescent="0.3">
      <c r="Y785" s="1"/>
      <c r="AB785" s="1"/>
      <c r="AC785" s="1"/>
      <c r="AF785" s="1"/>
    </row>
    <row r="786" spans="25:32" ht="14.4" x14ac:dyDescent="0.3">
      <c r="Y786" s="1"/>
      <c r="AB786" s="1"/>
      <c r="AC786" s="1"/>
      <c r="AF786" s="1"/>
    </row>
    <row r="787" spans="25:32" ht="14.4" x14ac:dyDescent="0.3">
      <c r="Y787" s="1"/>
      <c r="AB787" s="1"/>
      <c r="AC787" s="1"/>
      <c r="AF787" s="1"/>
    </row>
    <row r="788" spans="25:32" ht="14.4" x14ac:dyDescent="0.3">
      <c r="Y788" s="1"/>
      <c r="AB788" s="1"/>
      <c r="AC788" s="1"/>
      <c r="AF788" s="1"/>
    </row>
    <row r="789" spans="25:32" ht="14.4" x14ac:dyDescent="0.3">
      <c r="Y789" s="1"/>
      <c r="AB789" s="1"/>
      <c r="AC789" s="1"/>
      <c r="AF789" s="1"/>
    </row>
    <row r="790" spans="25:32" ht="14.4" x14ac:dyDescent="0.3">
      <c r="Y790" s="1"/>
      <c r="AB790" s="1"/>
      <c r="AC790" s="1"/>
      <c r="AF790" s="1"/>
    </row>
    <row r="791" spans="25:32" ht="14.4" x14ac:dyDescent="0.3">
      <c r="Y791" s="1"/>
      <c r="AB791" s="1"/>
      <c r="AC791" s="1"/>
      <c r="AF791" s="1"/>
    </row>
    <row r="792" spans="25:32" ht="14.4" x14ac:dyDescent="0.3">
      <c r="Y792" s="1"/>
      <c r="AB792" s="1"/>
      <c r="AC792" s="1"/>
      <c r="AF792" s="1"/>
    </row>
    <row r="793" spans="25:32" ht="14.4" x14ac:dyDescent="0.3">
      <c r="Y793" s="1"/>
      <c r="AB793" s="1"/>
      <c r="AC793" s="1"/>
      <c r="AF793" s="1"/>
    </row>
    <row r="794" spans="25:32" ht="14.4" x14ac:dyDescent="0.3">
      <c r="Y794" s="1"/>
      <c r="AB794" s="1"/>
      <c r="AC794" s="1"/>
      <c r="AF794" s="1"/>
    </row>
    <row r="795" spans="25:32" ht="14.4" x14ac:dyDescent="0.3">
      <c r="Y795" s="1"/>
      <c r="AB795" s="1"/>
      <c r="AC795" s="1"/>
      <c r="AF795" s="1"/>
    </row>
    <row r="796" spans="25:32" ht="14.4" x14ac:dyDescent="0.3">
      <c r="Y796" s="1"/>
      <c r="AB796" s="1"/>
      <c r="AC796" s="1"/>
      <c r="AF796" s="1"/>
    </row>
    <row r="797" spans="25:32" ht="14.4" x14ac:dyDescent="0.3">
      <c r="Y797" s="1"/>
      <c r="AB797" s="1"/>
      <c r="AC797" s="1"/>
      <c r="AF797" s="1"/>
    </row>
    <row r="798" spans="25:32" ht="14.4" x14ac:dyDescent="0.3">
      <c r="Y798" s="1"/>
      <c r="AB798" s="1"/>
      <c r="AC798" s="1"/>
      <c r="AF798" s="1"/>
    </row>
    <row r="799" spans="25:32" ht="14.4" x14ac:dyDescent="0.3">
      <c r="Y799" s="1"/>
      <c r="AB799" s="1"/>
      <c r="AC799" s="1"/>
      <c r="AF799" s="1"/>
    </row>
    <row r="800" spans="25:32" ht="14.4" x14ac:dyDescent="0.3">
      <c r="Y800" s="1"/>
      <c r="AB800" s="1"/>
      <c r="AC800" s="1"/>
      <c r="AF800" s="1"/>
    </row>
    <row r="801" spans="25:32" ht="14.4" x14ac:dyDescent="0.3">
      <c r="Y801" s="1"/>
      <c r="AB801" s="1"/>
      <c r="AC801" s="1"/>
      <c r="AF801" s="1"/>
    </row>
    <row r="802" spans="25:32" ht="14.4" x14ac:dyDescent="0.3">
      <c r="Y802" s="1"/>
      <c r="AB802" s="1"/>
      <c r="AC802" s="1"/>
      <c r="AF802" s="1"/>
    </row>
    <row r="803" spans="25:32" ht="14.4" x14ac:dyDescent="0.3">
      <c r="Y803" s="1"/>
      <c r="AB803" s="1"/>
      <c r="AC803" s="1"/>
      <c r="AF803" s="1"/>
    </row>
    <row r="804" spans="25:32" ht="14.4" x14ac:dyDescent="0.3">
      <c r="Y804" s="1"/>
      <c r="AB804" s="1"/>
      <c r="AC804" s="1"/>
      <c r="AF804" s="1"/>
    </row>
    <row r="805" spans="25:32" ht="14.4" x14ac:dyDescent="0.3">
      <c r="Y805" s="1"/>
      <c r="AB805" s="1"/>
      <c r="AC805" s="1"/>
      <c r="AF805" s="1"/>
    </row>
    <row r="806" spans="25:32" ht="14.4" x14ac:dyDescent="0.3">
      <c r="Y806" s="1"/>
      <c r="AB806" s="1"/>
      <c r="AC806" s="1"/>
      <c r="AF806" s="1"/>
    </row>
    <row r="807" spans="25:32" ht="14.4" x14ac:dyDescent="0.3">
      <c r="Y807" s="1"/>
      <c r="AB807" s="1"/>
      <c r="AC807" s="1"/>
      <c r="AF807" s="1"/>
    </row>
    <row r="808" spans="25:32" ht="14.4" x14ac:dyDescent="0.3">
      <c r="Y808" s="1"/>
      <c r="AB808" s="1"/>
      <c r="AC808" s="1"/>
      <c r="AF808" s="1"/>
    </row>
    <row r="809" spans="25:32" ht="14.4" x14ac:dyDescent="0.3">
      <c r="Y809" s="1"/>
      <c r="AB809" s="1"/>
      <c r="AC809" s="1"/>
      <c r="AF809" s="1"/>
    </row>
    <row r="810" spans="25:32" ht="14.4" x14ac:dyDescent="0.3">
      <c r="Y810" s="1"/>
      <c r="AB810" s="1"/>
      <c r="AC810" s="1"/>
      <c r="AF810" s="1"/>
    </row>
    <row r="811" spans="25:32" ht="14.4" x14ac:dyDescent="0.3">
      <c r="Y811" s="1"/>
      <c r="AB811" s="1"/>
      <c r="AC811" s="1"/>
      <c r="AF811" s="1"/>
    </row>
    <row r="812" spans="25:32" ht="14.4" x14ac:dyDescent="0.3">
      <c r="Y812" s="1"/>
      <c r="AB812" s="1"/>
      <c r="AC812" s="1"/>
      <c r="AF812" s="1"/>
    </row>
    <row r="813" spans="25:32" ht="14.4" x14ac:dyDescent="0.3">
      <c r="Y813" s="1"/>
      <c r="AB813" s="1"/>
      <c r="AC813" s="1"/>
      <c r="AF813" s="1"/>
    </row>
    <row r="814" spans="25:32" ht="79.95" customHeight="1" x14ac:dyDescent="0.3"/>
    <row r="815" spans="25:32" ht="79.95" customHeight="1" x14ac:dyDescent="0.3"/>
    <row r="816" spans="25:32" ht="79.95" customHeight="1" x14ac:dyDescent="0.3"/>
    <row r="817" ht="79.95" customHeight="1" x14ac:dyDescent="0.3"/>
    <row r="818" ht="79.95" customHeight="1" x14ac:dyDescent="0.3"/>
    <row r="819" ht="79.95" customHeight="1" x14ac:dyDescent="0.3"/>
    <row r="820" ht="79.95" customHeight="1" x14ac:dyDescent="0.3"/>
    <row r="821" ht="79.95" customHeight="1" x14ac:dyDescent="0.3"/>
    <row r="822" ht="79.95" customHeight="1" x14ac:dyDescent="0.3"/>
    <row r="823" ht="79.95" customHeight="1" x14ac:dyDescent="0.3"/>
    <row r="824" ht="79.95" customHeight="1" x14ac:dyDescent="0.3"/>
    <row r="825" ht="79.95" customHeight="1" x14ac:dyDescent="0.3"/>
    <row r="826" ht="79.95" customHeight="1" x14ac:dyDescent="0.3"/>
    <row r="827" ht="79.95" customHeight="1" x14ac:dyDescent="0.3"/>
    <row r="828" ht="79.95" customHeight="1" x14ac:dyDescent="0.3"/>
    <row r="829" ht="79.95" customHeight="1" x14ac:dyDescent="0.3"/>
    <row r="830" ht="79.95" customHeight="1" x14ac:dyDescent="0.3"/>
    <row r="831" ht="79.95" customHeight="1" x14ac:dyDescent="0.3"/>
    <row r="832" ht="79.95" customHeight="1" x14ac:dyDescent="0.3"/>
    <row r="833" ht="79.95" customHeight="1" x14ac:dyDescent="0.3"/>
    <row r="834" ht="79.95" customHeight="1" x14ac:dyDescent="0.3"/>
    <row r="835" ht="79.95" customHeight="1" x14ac:dyDescent="0.3"/>
    <row r="836" ht="79.95" customHeight="1" x14ac:dyDescent="0.3"/>
    <row r="837" ht="79.95" customHeight="1" x14ac:dyDescent="0.3"/>
    <row r="838" ht="79.95" customHeight="1" x14ac:dyDescent="0.3"/>
    <row r="839" ht="79.95" customHeight="1" x14ac:dyDescent="0.3"/>
    <row r="840" ht="79.95" customHeight="1" x14ac:dyDescent="0.3"/>
    <row r="841" ht="79.95" customHeight="1" x14ac:dyDescent="0.3"/>
    <row r="842" ht="79.95" customHeight="1" x14ac:dyDescent="0.3"/>
    <row r="843" ht="79.95" customHeight="1" x14ac:dyDescent="0.3"/>
    <row r="844" ht="79.95" customHeight="1" x14ac:dyDescent="0.3"/>
    <row r="845" ht="79.95" customHeight="1" x14ac:dyDescent="0.3"/>
    <row r="846" ht="79.95" customHeight="1" x14ac:dyDescent="0.3"/>
    <row r="847" ht="79.95" customHeight="1" x14ac:dyDescent="0.3"/>
    <row r="848" ht="79.95" customHeight="1" x14ac:dyDescent="0.3"/>
    <row r="849" ht="79.95" customHeight="1" x14ac:dyDescent="0.3"/>
    <row r="850" ht="79.95" customHeight="1" x14ac:dyDescent="0.3"/>
    <row r="851" ht="79.95" customHeight="1" x14ac:dyDescent="0.3"/>
    <row r="852" ht="79.95" customHeight="1" x14ac:dyDescent="0.3"/>
    <row r="853" ht="79.95" customHeight="1" x14ac:dyDescent="0.3"/>
    <row r="854" ht="79.95" customHeight="1" x14ac:dyDescent="0.3"/>
    <row r="855" ht="79.95" customHeight="1" x14ac:dyDescent="0.3"/>
    <row r="856" ht="79.95" customHeight="1" x14ac:dyDescent="0.3"/>
    <row r="857" ht="79.95" customHeight="1" x14ac:dyDescent="0.3"/>
    <row r="858" ht="79.95" customHeight="1" x14ac:dyDescent="0.3"/>
    <row r="859" ht="79.95" customHeight="1" x14ac:dyDescent="0.3"/>
    <row r="860" ht="79.95" customHeight="1" x14ac:dyDescent="0.3"/>
    <row r="861" ht="79.95" customHeight="1" x14ac:dyDescent="0.3"/>
    <row r="862" ht="79.95" customHeight="1" x14ac:dyDescent="0.3"/>
    <row r="863" ht="79.95" customHeight="1" x14ac:dyDescent="0.3"/>
    <row r="864" ht="79.95" customHeight="1" x14ac:dyDescent="0.3"/>
    <row r="865" ht="79.95" customHeight="1" x14ac:dyDescent="0.3"/>
    <row r="866" ht="79.95" customHeight="1" x14ac:dyDescent="0.3"/>
    <row r="867" ht="79.95" customHeight="1" x14ac:dyDescent="0.3"/>
    <row r="868" ht="79.95" customHeight="1" x14ac:dyDescent="0.3"/>
    <row r="869" ht="79.95" customHeight="1" x14ac:dyDescent="0.3"/>
    <row r="870" ht="79.95" customHeight="1" x14ac:dyDescent="0.3"/>
    <row r="871" ht="79.95" customHeight="1" x14ac:dyDescent="0.3"/>
    <row r="872" ht="79.95" customHeight="1" x14ac:dyDescent="0.3"/>
    <row r="873" ht="79.95" customHeight="1" x14ac:dyDescent="0.3"/>
    <row r="874" ht="79.95" customHeight="1" x14ac:dyDescent="0.3"/>
    <row r="875" ht="79.95" customHeight="1" x14ac:dyDescent="0.3"/>
    <row r="876" ht="79.95" customHeight="1" x14ac:dyDescent="0.3"/>
    <row r="877" ht="79.95" customHeight="1" x14ac:dyDescent="0.3"/>
    <row r="878" ht="79.95" customHeight="1" x14ac:dyDescent="0.3"/>
    <row r="879" ht="79.95" customHeight="1" x14ac:dyDescent="0.3"/>
    <row r="880" ht="79.95" customHeight="1" x14ac:dyDescent="0.3"/>
    <row r="881" ht="79.95" customHeight="1" x14ac:dyDescent="0.3"/>
    <row r="882" ht="79.95" customHeight="1" x14ac:dyDescent="0.3"/>
    <row r="883" ht="79.95" customHeight="1" x14ac:dyDescent="0.3"/>
    <row r="884" ht="79.95" customHeight="1" x14ac:dyDescent="0.3"/>
    <row r="885" ht="79.95" customHeight="1" x14ac:dyDescent="0.3"/>
    <row r="886" ht="79.95" customHeight="1" x14ac:dyDescent="0.3"/>
    <row r="887" ht="79.95" customHeight="1" x14ac:dyDescent="0.3"/>
    <row r="888" ht="79.95" customHeight="1" x14ac:dyDescent="0.3"/>
    <row r="889" ht="79.95" customHeight="1" x14ac:dyDescent="0.3"/>
    <row r="890" ht="79.95" customHeight="1" x14ac:dyDescent="0.3"/>
    <row r="891" ht="79.95" customHeight="1" x14ac:dyDescent="0.3"/>
    <row r="892" ht="79.95" customHeight="1" x14ac:dyDescent="0.3"/>
    <row r="893" ht="79.95" customHeight="1" x14ac:dyDescent="0.3"/>
    <row r="894" ht="79.95" customHeight="1" x14ac:dyDescent="0.3"/>
    <row r="895" ht="79.95" customHeight="1" x14ac:dyDescent="0.3"/>
    <row r="896" ht="79.95" customHeight="1" x14ac:dyDescent="0.3"/>
    <row r="897" ht="79.95" customHeight="1" x14ac:dyDescent="0.3"/>
    <row r="898" ht="79.95" customHeight="1" x14ac:dyDescent="0.3"/>
    <row r="899" ht="79.95" customHeight="1" x14ac:dyDescent="0.3"/>
    <row r="900" ht="79.95" customHeight="1" x14ac:dyDescent="0.3"/>
    <row r="901" ht="79.95" customHeight="1" x14ac:dyDescent="0.3"/>
    <row r="902" ht="79.95" customHeight="1" x14ac:dyDescent="0.3"/>
    <row r="903" ht="79.95" customHeight="1" x14ac:dyDescent="0.3"/>
    <row r="904" ht="79.95" customHeight="1" x14ac:dyDescent="0.3"/>
    <row r="905" ht="79.95" customHeight="1" x14ac:dyDescent="0.3"/>
    <row r="906" ht="79.95" customHeight="1" x14ac:dyDescent="0.3"/>
    <row r="907" ht="79.95" customHeight="1" x14ac:dyDescent="0.3"/>
    <row r="908" ht="79.95" customHeight="1" x14ac:dyDescent="0.3"/>
    <row r="909" ht="79.95" customHeight="1" x14ac:dyDescent="0.3"/>
    <row r="910" ht="79.95" customHeight="1" x14ac:dyDescent="0.3"/>
    <row r="911" ht="79.95" customHeight="1" x14ac:dyDescent="0.3"/>
    <row r="912" ht="79.95" customHeight="1" x14ac:dyDescent="0.3"/>
    <row r="913" ht="79.95" customHeight="1" x14ac:dyDescent="0.3"/>
    <row r="914" ht="79.95" customHeight="1" x14ac:dyDescent="0.3"/>
    <row r="915" ht="79.95" customHeight="1" x14ac:dyDescent="0.3"/>
    <row r="916" ht="79.95" customHeight="1" x14ac:dyDescent="0.3"/>
    <row r="917" ht="79.95" customHeight="1" x14ac:dyDescent="0.3"/>
    <row r="918" ht="79.95" customHeight="1" x14ac:dyDescent="0.3"/>
    <row r="919" ht="79.95" customHeight="1" x14ac:dyDescent="0.3"/>
    <row r="920" ht="79.95" customHeight="1" x14ac:dyDescent="0.3"/>
    <row r="921" ht="79.95" customHeight="1" x14ac:dyDescent="0.3"/>
    <row r="922" ht="79.95" customHeight="1" x14ac:dyDescent="0.3"/>
    <row r="923" ht="79.95" customHeight="1" x14ac:dyDescent="0.3"/>
    <row r="924" ht="79.95" customHeight="1" x14ac:dyDescent="0.3"/>
    <row r="925" ht="79.95" customHeight="1" x14ac:dyDescent="0.3"/>
    <row r="926" ht="79.95" customHeight="1" x14ac:dyDescent="0.3"/>
    <row r="927" ht="79.95" customHeight="1" x14ac:dyDescent="0.3"/>
    <row r="928" ht="79.95" customHeight="1" x14ac:dyDescent="0.3"/>
    <row r="929" ht="79.95" customHeight="1" x14ac:dyDescent="0.3"/>
    <row r="930" ht="79.95" customHeight="1" x14ac:dyDescent="0.3"/>
    <row r="931" ht="79.95" customHeight="1" x14ac:dyDescent="0.3"/>
    <row r="932" ht="79.95" customHeight="1" x14ac:dyDescent="0.3"/>
    <row r="933" ht="79.95" customHeight="1" x14ac:dyDescent="0.3"/>
    <row r="934" ht="79.95" customHeight="1" x14ac:dyDescent="0.3"/>
    <row r="935" ht="79.95" customHeight="1" x14ac:dyDescent="0.3"/>
    <row r="936" ht="79.95" customHeight="1" x14ac:dyDescent="0.3"/>
    <row r="937" ht="79.95" customHeight="1" x14ac:dyDescent="0.3"/>
    <row r="938" ht="79.95" customHeight="1" x14ac:dyDescent="0.3"/>
    <row r="939" ht="79.95" customHeight="1" x14ac:dyDescent="0.3"/>
    <row r="940" ht="79.95" customHeight="1" x14ac:dyDescent="0.3"/>
    <row r="941" ht="79.95" customHeight="1" x14ac:dyDescent="0.3"/>
    <row r="942" ht="79.95" customHeight="1" x14ac:dyDescent="0.3"/>
    <row r="943" ht="79.95" customHeight="1" x14ac:dyDescent="0.3"/>
    <row r="944" ht="79.95" customHeight="1" x14ac:dyDescent="0.3"/>
    <row r="945" ht="79.95" customHeight="1" x14ac:dyDescent="0.3"/>
    <row r="946" ht="79.95" customHeight="1" x14ac:dyDescent="0.3"/>
    <row r="947" ht="79.95" customHeight="1" x14ac:dyDescent="0.3"/>
    <row r="948" ht="79.95" customHeight="1" x14ac:dyDescent="0.3"/>
    <row r="949" ht="79.95" customHeight="1" x14ac:dyDescent="0.3"/>
    <row r="950" ht="79.95" customHeight="1" x14ac:dyDescent="0.3"/>
    <row r="951" ht="79.95" customHeight="1" x14ac:dyDescent="0.3"/>
    <row r="952" ht="79.95" customHeight="1" x14ac:dyDescent="0.3"/>
    <row r="953" ht="79.95" customHeight="1" x14ac:dyDescent="0.3"/>
    <row r="954" ht="79.95" customHeight="1" x14ac:dyDescent="0.3"/>
    <row r="955" ht="79.95" customHeight="1" x14ac:dyDescent="0.3"/>
    <row r="956" ht="79.95" customHeight="1" x14ac:dyDescent="0.3"/>
    <row r="957" ht="79.95" customHeight="1" x14ac:dyDescent="0.3"/>
    <row r="958" ht="79.95" customHeight="1" x14ac:dyDescent="0.3"/>
    <row r="959" ht="79.95" customHeight="1" x14ac:dyDescent="0.3"/>
    <row r="960" ht="79.95" customHeight="1" x14ac:dyDescent="0.3"/>
    <row r="961" ht="79.95" customHeight="1" x14ac:dyDescent="0.3"/>
    <row r="962" ht="79.95" customHeight="1" x14ac:dyDescent="0.3"/>
    <row r="963" ht="79.95" customHeight="1" x14ac:dyDescent="0.3"/>
    <row r="964" ht="79.95" customHeight="1" x14ac:dyDescent="0.3"/>
    <row r="965" ht="79.95" customHeight="1" x14ac:dyDescent="0.3"/>
    <row r="966" ht="79.95" customHeight="1" x14ac:dyDescent="0.3"/>
    <row r="967" ht="79.95" customHeight="1" x14ac:dyDescent="0.3"/>
    <row r="968" ht="79.95" customHeight="1" x14ac:dyDescent="0.3"/>
    <row r="969" ht="79.95" customHeight="1" x14ac:dyDescent="0.3"/>
    <row r="970" ht="79.95" customHeight="1" x14ac:dyDescent="0.3"/>
    <row r="971" ht="79.95" customHeight="1" x14ac:dyDescent="0.3"/>
    <row r="972" ht="79.95" customHeight="1" x14ac:dyDescent="0.3"/>
    <row r="973" ht="79.95" customHeight="1" x14ac:dyDescent="0.3"/>
    <row r="974" ht="79.95" customHeight="1" x14ac:dyDescent="0.3"/>
    <row r="975" ht="79.95" customHeight="1" x14ac:dyDescent="0.3"/>
    <row r="976" ht="79.95" customHeight="1" x14ac:dyDescent="0.3"/>
    <row r="977" ht="79.95" customHeight="1" x14ac:dyDescent="0.3"/>
    <row r="978" ht="79.95" customHeight="1" x14ac:dyDescent="0.3"/>
    <row r="979" ht="79.95" customHeight="1" x14ac:dyDescent="0.3"/>
    <row r="980" ht="79.95" customHeight="1" x14ac:dyDescent="0.3"/>
    <row r="981" ht="79.95" customHeight="1" x14ac:dyDescent="0.3"/>
    <row r="982" ht="79.95" customHeight="1" x14ac:dyDescent="0.3"/>
    <row r="983" ht="79.95" customHeight="1" x14ac:dyDescent="0.3"/>
    <row r="984" ht="79.95" customHeight="1" x14ac:dyDescent="0.3"/>
    <row r="985" ht="79.95" customHeight="1" x14ac:dyDescent="0.3"/>
    <row r="986" ht="79.95" customHeight="1" x14ac:dyDescent="0.3"/>
    <row r="987" ht="79.95" customHeight="1" x14ac:dyDescent="0.3"/>
    <row r="988" ht="79.95" customHeight="1" x14ac:dyDescent="0.3"/>
    <row r="989" ht="79.95" customHeight="1" x14ac:dyDescent="0.3"/>
    <row r="990" ht="79.95" customHeight="1" x14ac:dyDescent="0.3"/>
    <row r="991" ht="79.95" customHeight="1" x14ac:dyDescent="0.3"/>
    <row r="992" ht="79.95" customHeight="1" x14ac:dyDescent="0.3"/>
    <row r="993" ht="79.95" customHeight="1" x14ac:dyDescent="0.3"/>
    <row r="994" ht="79.95" customHeight="1" x14ac:dyDescent="0.3"/>
    <row r="995" ht="79.95" customHeight="1" x14ac:dyDescent="0.3"/>
    <row r="996" ht="79.95" customHeight="1" x14ac:dyDescent="0.3"/>
    <row r="997" ht="79.95" customHeight="1" x14ac:dyDescent="0.3"/>
    <row r="998" ht="79.95" customHeight="1" x14ac:dyDescent="0.3"/>
    <row r="999" ht="79.95" customHeight="1" x14ac:dyDescent="0.3"/>
    <row r="1000" ht="79.95" customHeight="1" x14ac:dyDescent="0.3"/>
    <row r="1001" ht="79.95" customHeight="1" x14ac:dyDescent="0.3"/>
  </sheetData>
  <phoneticPr fontId="2" type="noConversion"/>
  <pageMargins left="0.7" right="0.7" top="0.78740157499999996" bottom="0.78740157499999996" header="0.3" footer="0.3"/>
  <pageSetup paperSize="9" scale="43" fitToHeight="0" orientation="landscape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Matei Lazar</dc:creator>
  <cp:keywords/>
  <dc:description/>
  <cp:lastModifiedBy>Matei Lazar</cp:lastModifiedBy>
  <cp:revision/>
  <cp:lastPrinted>2024-08-22T14:33:32Z</cp:lastPrinted>
  <dcterms:created xsi:type="dcterms:W3CDTF">2024-08-16T12:38:23Z</dcterms:created>
  <dcterms:modified xsi:type="dcterms:W3CDTF">2024-12-12T09:46:08Z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2024-12-11T07:45:42Z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0f089679-67f6-49d7-843a-e70dbbd6233e</vt:lpwstr>
  </property>
  <property fmtid="{D5CDD505-2E9C-101B-9397-08002B2CF9AE}" pid="15" name="MSIP_Label_48279657-75ab-40d6-b3ab-c93925b22f83_ContentBits">
    <vt:lpwstr>1</vt:lpwstr>
  </property>
</Properties>
</file>