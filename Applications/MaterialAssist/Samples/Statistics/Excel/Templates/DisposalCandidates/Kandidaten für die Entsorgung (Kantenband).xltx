
<file path=[Content_Types].xml><?xml version="1.0" encoding="utf-8"?>
<Types xmlns="http://schemas.openxmlformats.org/package/2006/content-types">
  <Default Extension="0" ContentType="image/png"/>
  <Default Extension="5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Repos\HOMAG-Connect\Applications\MaterialAssist\Samples\Statistics\Excel\Templates\DisposalCandidates\"/>
    </mc:Choice>
  </mc:AlternateContent>
  <xr:revisionPtr revIDLastSave="0" documentId="8_{1BAA627E-942D-4B8D-BDE1-F30BA90FE5DC}" xr6:coauthVersionLast="47" xr6:coauthVersionMax="47" xr10:uidLastSave="{00000000-0000-0000-0000-000000000000}"/>
  <bookViews>
    <workbookView xWindow="28680" yWindow="-120" windowWidth="38640" windowHeight="21240" xr2:uid="{00000000-000D-0000-FFFF-FFFF00000000}"/>
  </bookViews>
  <sheets>
    <sheet name="Edgebands" sheetId="2" r:id="rId1"/>
  </sheets>
  <definedNames>
    <definedName name="ExternalData_1" localSheetId="0" hidden="1">Edgebands!$A$1:$R$12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2" l="1"/>
  <c r="O3" i="2"/>
  <c r="O4" i="2"/>
  <c r="O5" i="2"/>
  <c r="O6" i="2"/>
  <c r="O7" i="2"/>
  <c r="O8" i="2"/>
  <c r="O9" i="2"/>
  <c r="O10" i="2"/>
  <c r="O11" i="2"/>
  <c r="O12" i="2"/>
  <c r="L2" i="2"/>
  <c r="L3" i="2"/>
  <c r="L4" i="2"/>
  <c r="L5" i="2"/>
  <c r="L6" i="2"/>
  <c r="L7" i="2"/>
  <c r="L8" i="2"/>
  <c r="L9" i="2"/>
  <c r="L10" i="2"/>
  <c r="L11" i="2"/>
  <c r="L12" i="2"/>
  <c r="B2" i="2"/>
  <c r="B3" i="2"/>
  <c r="B4" i="2"/>
  <c r="B5" i="2"/>
  <c r="B6" i="2"/>
  <c r="B7" i="2"/>
  <c r="B8" i="2"/>
  <c r="B9" i="2"/>
  <c r="B10" i="2"/>
  <c r="B11" i="2"/>
  <c r="B12" i="2"/>
  <c r="S2" i="2"/>
  <c r="S3" i="2"/>
  <c r="S4" i="2"/>
  <c r="S5" i="2"/>
  <c r="S6" i="2"/>
  <c r="S7" i="2"/>
  <c r="S8" i="2"/>
  <c r="S9" i="2"/>
  <c r="S10" i="2"/>
  <c r="S11" i="2"/>
  <c r="S1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<sst xmlns="http://schemas.openxmlformats.org/spreadsheetml/2006/main" count="4" uniqueCount="4">
  <si>
    <t>QRCode</t>
  </si>
  <si>
    <t>Bild</t>
  </si>
  <si>
    <t>Alter (Monate)</t>
  </si>
  <si>
    <t>Gesamtwert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</si>
</sst>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07]_-;\-* #,##0.00\ [$€-407]_-;_-* &quot;-&quot;??\ [$€-407]_-;_-@_-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0" fontId="3" fillId="0" borderId="0" xfId="0" applyNumberFormat="1" applyFont="1" applyAlignment="1">
      <alignment vertical="center"/>
    </xf>
    <xf numFmtId="14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</cellXfs>
  <cellStyles count="2">
    <cellStyle name="Hyperlink" xfId="1" builtinId="8"/>
    <cellStyle name="Normal" xfId="0" builtinId="0"/>
  </cellStyles>
  <dxfs count="21"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numFmt numFmtId="27" formatCode="m/d/yyyy\ h:mm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59" unboundColumnsRight="1">
    <queryTableFields count="19">
      <queryTableField id="2" name="Thumbnail" tableColumnId="2"/>
      <queryTableField id="18" dataBound="0" tableColumnId="1"/>
      <queryTableField id="3" name="Id" tableColumnId="3"/>
      <queryTableField id="32" name="Material" tableColumnId="4"/>
      <queryTableField id="33" name="Kantencode" tableColumnId="5"/>
      <queryTableField id="34" name="Länge" tableColumnId="6"/>
      <queryTableField id="35" name="Höhe" tableColumnId="7"/>
      <queryTableField id="36" name="Gesamtlänge" tableColumnId="8"/>
      <queryTableField id="37" name="Menge" tableColumnId="9"/>
      <queryTableField id="38" name="Verwaltung" tableColumnId="10"/>
      <queryTableField id="39" name="Erstellungsdatum" tableColumnId="11"/>
      <queryTableField id="21" dataBound="0" tableColumnId="18"/>
      <queryTableField id="40" name="Material zuletzt verwendet" tableColumnId="12"/>
      <queryTableField id="41" name="Kosten" tableColumnId="13"/>
      <queryTableField id="28" dataBound="0" tableColumnId="23"/>
      <queryTableField id="42" name="Anmerkungen" tableColumnId="14"/>
      <queryTableField id="43" name="Lagerplatz" tableColumnId="15"/>
      <queryTableField id="16" name="QR-Code" tableColumnId="16"/>
      <queryTableField id="20" dataBound="0" tableColumnId="17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8" Type="http://schemas.openxmlformats.org/officeDocument/2006/relationships/hyperlink" Target="https://api.qrserver.com/v1/create-qr-code/?data=ABS_Cuneo_Eiche_braun_0.80_23.0_NN%2314" TargetMode="External"/><Relationship Id="rId13" Type="http://schemas.openxmlformats.org/officeDocument/2006/relationships/hyperlink" Target="https://api.qrserver.com/v1/create-qr-code/?data=ABS_Weiss_2_23_HM%232" TargetMode="External"/><Relationship Id="rId18" Type="http://schemas.openxmlformats.org/officeDocument/2006/relationships/image" Target="../media/image8.png"/><Relationship Id="rId26" Type="http://schemas.openxmlformats.org/officeDocument/2006/relationships/image" Target="../media/image12.0"/><Relationship Id="rId3" Type="http://schemas.openxmlformats.org/officeDocument/2006/relationships/image" Target="../media/image1.png"/><Relationship Id="rId21" Type="http://schemas.openxmlformats.org/officeDocument/2006/relationships/hyperlink" Target="https://api.qrserver.com/v1/create-qr-code/?data=NN_Schwarz_16.50_24.5_HM%236" TargetMode="External"/><Relationship Id="rId7" Type="http://schemas.openxmlformats.org/officeDocument/2006/relationships/image" Target="../media/image3.png"/><Relationship Id="rId12" Type="http://schemas.openxmlformats.org/officeDocument/2006/relationships/hyperlink" Target="https://api.qrserver.com/v1/create-qr-code/?data=BJO%20test%20coil%20200m%2316" TargetMode="External"/><Relationship Id="rId17" Type="http://schemas.openxmlformats.org/officeDocument/2006/relationships/hyperlink" Target="https://api.qrserver.com/v1/create-qr-code/?data=ABS_Weiss_2_23_HM%234" TargetMode="External"/><Relationship Id="rId25" Type="http://schemas.openxmlformats.org/officeDocument/2006/relationships/hyperlink" Target="https://api.qrserver.com/v1/create-qr-code/?data=ABS_A_Dash_of_Freedom_1.00_100.0_HM%237" TargetMode="External"/><Relationship Id="rId2" Type="http://schemas.openxmlformats.org/officeDocument/2006/relationships/hyperlink" Target="https://intellisettingscdn.homag.cloud/820a547d-b2b0-4e0e-9b0f-2533e8310b3e/materials/c0531413-d0ee-47ca-b3f4-df14d812deb8/Picture/ThumbnailSquare.png?sv=2024-08-04&amp;se=2024-12-19T00%3A00%3A00Z&amp;sr=c&amp;sp=r&amp;sig=4LpTmnJ6CDTuW0Jw65d07hMegkZXiRM5U8uXH0kTe6Y%3D" TargetMode="External"/><Relationship Id="rId16" Type="http://schemas.openxmlformats.org/officeDocument/2006/relationships/image" Target="../media/image7.png"/><Relationship Id="rId20" Type="http://schemas.openxmlformats.org/officeDocument/2006/relationships/image" Target="../media/image9.png"/><Relationship Id="rId1" Type="http://schemas.openxmlformats.org/officeDocument/2006/relationships/hyperlink" Target="https://api.qrserver.com/v1/create-qr-code/?data=PP_Eiche%20hell_1.3_22_HM%231" TargetMode="External"/><Relationship Id="rId6" Type="http://schemas.openxmlformats.org/officeDocument/2006/relationships/hyperlink" Target="https://intellisettingscdn.homag.cloud/820a547d-b2b0-4e0e-9b0f-2533e8310b3e/materials/1e696657-195e-4494-8bd0-eed63075b3ae/Picture/ThumbnailSquare.png?sv=2024-08-04&amp;se=2024-12-19T00%3A00%3A00Z&amp;sr=c&amp;sp=r&amp;sig=4LpTmnJ6CDTuW0Jw65d07hMegkZXiRM5U8uXH0kTe6Y%3D" TargetMode="External"/><Relationship Id="rId11" Type="http://schemas.openxmlformats.org/officeDocument/2006/relationships/image" Target="../media/image5.5"/><Relationship Id="rId24" Type="http://schemas.openxmlformats.org/officeDocument/2006/relationships/image" Target="../media/image11.png"/><Relationship Id="rId5" Type="http://schemas.openxmlformats.org/officeDocument/2006/relationships/image" Target="../media/image2.5"/><Relationship Id="rId15" Type="http://schemas.openxmlformats.org/officeDocument/2006/relationships/hyperlink" Target="https://api.qrserver.com/v1/create-qr-code/?data=ABS_Weiss_2_23_HM%233" TargetMode="External"/><Relationship Id="rId23" Type="http://schemas.openxmlformats.org/officeDocument/2006/relationships/hyperlink" Target="https://intellisettingscdn.homag.cloud/820a547d-b2b0-4e0e-9b0f-2533e8310b3e/materials/7a739061-3532-4676-a13b-156e9cb8770d/Picture/ThumbnailSquare.png?sv=2024-08-04&amp;se=2024-12-19T00%3A00%3A00Z&amp;sr=c&amp;sp=r&amp;sig=4LpTmnJ6CDTuW0Jw65d07hMegkZXiRM5U8uXH0kTe6Y%3D" TargetMode="External"/><Relationship Id="rId10" Type="http://schemas.openxmlformats.org/officeDocument/2006/relationships/hyperlink" Target="https://api.qrserver.com/v1/create-qr-code/?data=NN_Schwarz_16.50_24.5_HM%2315" TargetMode="External"/><Relationship Id="rId19" Type="http://schemas.openxmlformats.org/officeDocument/2006/relationships/hyperlink" Target="https://api.qrserver.com/v1/create-qr-code/?data=ABS_Weiss_2_23_HM%235" TargetMode="External"/><Relationship Id="rId4" Type="http://schemas.openxmlformats.org/officeDocument/2006/relationships/hyperlink" Target="https://api.qrserver.com/v1/create-qr-code/?data=NN_Schwarz_16.50_24.5_HM%2313" TargetMode="External"/><Relationship Id="rId9" Type="http://schemas.openxmlformats.org/officeDocument/2006/relationships/image" Target="../media/image4.0"/><Relationship Id="rId14" Type="http://schemas.openxmlformats.org/officeDocument/2006/relationships/image" Target="../media/image6.png"/><Relationship Id="rId22" Type="http://schemas.openxmlformats.org/officeDocument/2006/relationships/image" Target="../media/image10.5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</webImageSrd>
  <webImageSrd>
    <address r:id="rId2"/>
    <blip r:id="rId3"/>
  </webImageSrd>
  <webImageSrd>
    <address r:id="rId4"/>
    <blip r:id="rId5"/>
  </webImageSrd>
  <webImageSrd>
    <address r:id="rId6"/>
    <blip r:id="rId7"/>
  </webImageSrd>
  <webImageSrd>
    <address r:id="rId8"/>
    <blip r:id="rId9"/>
  </webImageSrd>
  <webImageSrd>
    <address r:id="rId10"/>
    <blip r:id="rId11"/>
  </webImageSrd>
  <webImageSrd>
    <address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</webImagesSrd>
</file>

<file path=xl/richData/rdrichvalue.xml><?xml version="1.0" encoding="utf-8"?>
<rvData xmlns="http://schemas.microsoft.com/office/spreadsheetml/2017/richdata" count="14">
  <rv s="0">
    <v>-1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-1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13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12" tableType="queryTable" totalsRowShown="0" headerRowDxfId="20" dataDxfId="19">
  <autoFilter ref="A1:S12" xr:uid="{13F56BAC-8DD8-472F-9DC7-24C60FD18CD8}"/>
  <tableColumns count="19">
    <tableColumn id="2" xr3:uid="{069CC405-D913-4216-A405-D12B04DB6220}" uniqueName="2" name="Thumbnail" queryTableFieldId="2" dataDxfId="18" dataCellStyle="Hyperlink"/>
    <tableColumn id="1" xr3:uid="{EDA1A086-4F73-43D3-99AF-57DE4D4983DC}" uniqueName="1" name="Bild" queryTableFieldId="18" dataDxfId="17" dataCellStyle="Hyperlink">
      <calculatedColumnFormula>IF(Edgebands[[#This Row],[Thumbnail]]&lt;&gt;"",_xlfn.IMAGE(Edgebands[[#This Row],[Thumbnail]],"",3,100,100),"")</calculatedColumnFormula>
    </tableColumn>
    <tableColumn id="3" xr3:uid="{4D13408D-BB57-4BD6-872C-FBFBD5C7CE6B}" uniqueName="3" name="Id" queryTableFieldId="3" dataDxfId="15"/>
    <tableColumn id="4" xr3:uid="{E09FBBC1-6376-4A90-BC93-75136EC2BC11}" uniqueName="4" name="Material" queryTableFieldId="32" dataDxfId="14"/>
    <tableColumn id="5" xr3:uid="{4CCD9863-17B1-4833-91A1-2F6A6C3664D1}" uniqueName="5" name="Kantencode" queryTableFieldId="33" dataDxfId="13"/>
    <tableColumn id="6" xr3:uid="{16774ECE-2270-456C-A7D3-68FC34552B53}" uniqueName="6" name="Länge" queryTableFieldId="34" dataDxfId="12"/>
    <tableColumn id="7" xr3:uid="{87CEF312-A2B1-4888-9D30-F66B0F7B4AA1}" uniqueName="7" name="Höhe" queryTableFieldId="35" dataDxfId="11"/>
    <tableColumn id="8" xr3:uid="{96882D68-9BD6-4D29-BA8B-263862E5C119}" uniqueName="8" name="Gesamtlänge" queryTableFieldId="36" dataDxfId="10"/>
    <tableColumn id="9" xr3:uid="{9234BCED-190A-4670-AE0D-D2E7CB63EA64}" uniqueName="9" name="Menge" queryTableFieldId="37" dataDxfId="9"/>
    <tableColumn id="10" xr3:uid="{CB138246-3F93-4E9A-BA12-C36428C7D36F}" uniqueName="10" name="Verwaltung" queryTableFieldId="38" dataDxfId="8"/>
    <tableColumn id="11" xr3:uid="{A0C252E6-67AD-41FE-8F93-3FF5F904DD8A}" uniqueName="11" name="Erstellungsdatum" queryTableFieldId="39" dataDxfId="7"/>
    <tableColumn id="18" xr3:uid="{55F5FD47-CB06-4CF3-8EE5-458EA7314137}" uniqueName="18" name="Alter (Monate)" queryTableFieldId="21" dataDxfId="6">
      <calculatedColumnFormula>DATEDIF(Edgebands[[#This Row],[Erstellungsdatum]],TODAY(),"M")</calculatedColumnFormula>
    </tableColumn>
    <tableColumn id="12" xr3:uid="{45906839-7939-4451-919B-82E3E8AE9DD4}" uniqueName="12" name="Material zuletzt verwendet" queryTableFieldId="40" dataDxfId="5"/>
    <tableColumn id="13" xr3:uid="{45226EDA-65DA-443B-9BA1-F14320B100B4}" uniqueName="13" name="Kosten" queryTableFieldId="41" dataDxfId="4"/>
    <tableColumn id="23" xr3:uid="{BB1BA370-D6F6-455F-B467-5AB904F3CBCC}" uniqueName="23" name="Gesamtwert" queryTableFieldId="28" dataDxfId="0">
      <calculatedColumnFormula>Edgebands[[#This Row],[Länge]]*Edgebands[[#This Row],[Kosten]]</calculatedColumnFormula>
    </tableColumn>
    <tableColumn id="14" xr3:uid="{09FA1A5B-E5D4-4616-8B5A-2E284D6ED194}" uniqueName="14" name="Anmerkungen" queryTableFieldId="42" dataDxfId="3"/>
    <tableColumn id="15" xr3:uid="{81B14086-3F3B-4162-863B-31F496AED84D}" uniqueName="15" name="Lagerplatz" queryTableFieldId="43" dataDxfId="1"/>
    <tableColumn id="16" xr3:uid="{232640E8-94DC-4598-A49B-C452265D22E3}" uniqueName="16" name="QR-Code" queryTableFieldId="16" dataDxfId="2"/>
    <tableColumn id="17" xr3:uid="{31BB9EB5-A3EF-4860-BE20-359F44AF037F}" uniqueName="17" name="QRCode" queryTableFieldId="20" dataDxfId="16">
      <calculatedColumnFormula>IF(Edgebands[[#This Row],[QR-Code]]&lt;&gt;"",_xlfn.IMAGE(Edgebands[[#This Row],[QR-Code]],"",3,100,100),"")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AG12"/>
  <sheetViews>
    <sheetView tabSelected="1" topLeftCell="B1" workbookViewId="0">
      <selection activeCell="R1" sqref="R1:R1048576"/>
    </sheetView>
  </sheetViews>
  <sheetFormatPr defaultColWidth="8.88671875" defaultRowHeight="14.4" x14ac:dyDescent="0.3"/>
  <cols>
    <col min="1" max="1" width="17.6640625" style="1" hidden="1" customWidth="1"/>
    <col min="2" max="2" width="16.5546875" style="1" customWidth="1"/>
    <col min="3" max="3" width="4.88671875" style="1" bestFit="1" customWidth="1"/>
    <col min="4" max="4" width="11.5546875" style="1" customWidth="1"/>
    <col min="5" max="5" width="37.88671875" style="1" bestFit="1" customWidth="1"/>
    <col min="6" max="6" width="8.77734375" style="1" customWidth="1"/>
    <col min="7" max="7" width="8.88671875" style="1" customWidth="1"/>
    <col min="8" max="8" width="15.44140625" style="1" customWidth="1"/>
    <col min="9" max="9" width="9" style="1" customWidth="1"/>
    <col min="10" max="10" width="15.88671875" style="1" customWidth="1"/>
    <col min="11" max="11" width="18.44140625" style="1" customWidth="1"/>
    <col min="12" max="12" width="17.77734375" style="1" customWidth="1"/>
    <col min="13" max="13" width="26.88671875" style="1" customWidth="1"/>
    <col min="15" max="15" width="16" customWidth="1"/>
    <col min="16" max="16" width="44.5546875" style="1" customWidth="1"/>
    <col min="17" max="17" width="23.33203125" style="1" customWidth="1"/>
    <col min="18" max="18" width="39.21875" style="1" hidden="1" customWidth="1"/>
    <col min="19" max="19" width="18.88671875" style="1" customWidth="1"/>
    <col min="20" max="20" width="17.77734375" style="1" customWidth="1"/>
    <col min="21" max="21" width="25" style="1" customWidth="1"/>
    <col min="22" max="22" width="16.109375" style="1" customWidth="1"/>
    <col min="23" max="23" width="13.44140625" style="1" bestFit="1" customWidth="1"/>
    <col min="24" max="24" width="10.6640625" style="1" bestFit="1" customWidth="1"/>
    <col min="25" max="25" width="19.33203125" style="1" bestFit="1" customWidth="1"/>
    <col min="26" max="26" width="22.33203125" style="1" customWidth="1"/>
    <col min="27" max="27" width="18.44140625" style="3" bestFit="1" customWidth="1"/>
    <col min="28" max="28" width="23.77734375" style="1" customWidth="1"/>
    <col min="29" max="29" width="15.44140625" style="1" customWidth="1"/>
    <col min="30" max="30" width="15.44140625" style="4" bestFit="1" customWidth="1"/>
    <col min="31" max="31" width="48.33203125" style="1" bestFit="1" customWidth="1"/>
    <col min="32" max="32" width="21.33203125" style="1" bestFit="1" customWidth="1"/>
    <col min="33" max="33" width="21.33203125" style="1" hidden="1" customWidth="1"/>
    <col min="34" max="34" width="25.33203125" style="1" customWidth="1"/>
    <col min="35" max="35" width="9.109375" style="1" customWidth="1"/>
    <col min="36" max="36" width="10.109375" style="1" bestFit="1" customWidth="1"/>
    <col min="37" max="16384" width="8.88671875" style="1"/>
  </cols>
  <sheetData>
    <row r="1" spans="1:30" x14ac:dyDescent="0.3">
      <c r="A1" s="1"/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3" t="s">
        <v>2</v>
      </c>
      <c r="M1" s="1"/>
      <c r="N1"/>
      <c r="O1" s="4" t="s">
        <v>3</v>
      </c>
      <c r="P1" s="1"/>
      <c r="Q1" s="1"/>
      <c r="R1" s="1"/>
      <c r="S1" s="1" t="s">
        <v>0</v>
      </c>
      <c r="AA1" s="1"/>
      <c r="AD1" s="1"/>
    </row>
    <row r="2" spans="1:30" ht="91.8" x14ac:dyDescent="0.3">
      <c r="A2" s="2"/>
      <c r="B2" s="5" t="str">
        <f>IF(Edgebands[[#This Row],[Thumbnail]]&lt;&gt;"",_xlfn.IMAGE(Edgebands[[#This Row],[Thumbnail]],"",3,100,100),"")</f>
        <v/>
      </c>
      <c r="C2" s="6"/>
      <c r="D2" s="6"/>
      <c r="E2" s="6"/>
      <c r="F2" s="1"/>
      <c r="G2" s="1"/>
      <c r="H2" s="1"/>
      <c r="I2" s="1"/>
      <c r="J2" s="6"/>
      <c r="K2" s="9"/>
      <c r="L2" s="7">
        <f ca="1">DATEDIF(Edgebands[[#This Row],[Erstellungsdatum]],TODAY(),"M")</f>
        <v>1</v>
      </c>
      <c r="M2" s="10"/>
      <c r="N2" s="4"/>
      <c r="O2" s="4">
        <f>Edgebands[[#This Row],[Länge]]*Edgebands[[#This Row],[Kosten]]</f>
        <v>36.25</v>
      </c>
      <c r="P2" s="6"/>
      <c r="Q2" s="6"/>
      <c r="R2" s="6"/>
      <c r="S2" s="8" t="e" vm="1">
        <f>IF(Edgebands[[#This Row],[QR-Code]]&lt;&gt;"",_xlfn.IMAGE(Edgebands[[#This Row],[QR-Code]],"",3,100,100),"")</f>
        <v>#VALUE!</v>
      </c>
      <c r="AA2" s="1"/>
      <c r="AD2" s="1"/>
    </row>
    <row r="3" spans="1:30" ht="91.8" x14ac:dyDescent="0.3">
      <c r="A3" s="2"/>
      <c r="B3" s="5" t="e" vm="2">
        <f>IF(Edgebands[[#This Row],[Thumbnail]]&lt;&gt;"",_xlfn.IMAGE(Edgebands[[#This Row],[Thumbnail]],"",3,100,100),"")</f>
        <v>#VALUE!</v>
      </c>
      <c r="C3" s="6"/>
      <c r="D3" s="6"/>
      <c r="E3" s="6"/>
      <c r="F3" s="1"/>
      <c r="G3" s="1"/>
      <c r="H3" s="1"/>
      <c r="I3" s="1"/>
      <c r="J3" s="6"/>
      <c r="K3" s="9"/>
      <c r="L3" s="7">
        <f ca="1">DATEDIF(Edgebands[[#This Row],[Erstellungsdatum]],TODAY(),"M")</f>
        <v>0</v>
      </c>
      <c r="M3" s="10"/>
      <c r="N3" s="4"/>
      <c r="O3" s="4">
        <f>Edgebands[[#This Row],[Länge]]*Edgebands[[#This Row],[Kosten]]</f>
        <v>0</v>
      </c>
      <c r="P3" s="6"/>
      <c r="Q3" s="6"/>
      <c r="R3" s="6"/>
      <c r="S3" s="8" t="e" vm="3">
        <f>IF(Edgebands[[#This Row],[QR-Code]]&lt;&gt;"",_xlfn.IMAGE(Edgebands[[#This Row],[QR-Code]],"",3,100,100),"")</f>
        <v>#VALUE!</v>
      </c>
      <c r="AA3" s="1"/>
      <c r="AD3" s="1"/>
    </row>
    <row r="4" spans="1:30" ht="91.8" x14ac:dyDescent="0.3">
      <c r="A4" s="2"/>
      <c r="B4" s="5" t="e" vm="4">
        <f>IF(Edgebands[[#This Row],[Thumbnail]]&lt;&gt;"",_xlfn.IMAGE(Edgebands[[#This Row],[Thumbnail]],"",3,100,100),"")</f>
        <v>#VALUE!</v>
      </c>
      <c r="C4" s="6"/>
      <c r="D4" s="6"/>
      <c r="E4" s="6"/>
      <c r="F4" s="1"/>
      <c r="G4" s="1"/>
      <c r="H4" s="1"/>
      <c r="I4" s="1"/>
      <c r="J4" s="6"/>
      <c r="K4" s="9"/>
      <c r="L4" s="7">
        <f ca="1">DATEDIF(Edgebands[[#This Row],[Erstellungsdatum]],TODAY(),"M")</f>
        <v>0</v>
      </c>
      <c r="M4" s="10"/>
      <c r="N4" s="4"/>
      <c r="O4" s="4">
        <f>Edgebands[[#This Row],[Länge]]*Edgebands[[#This Row],[Kosten]]</f>
        <v>0</v>
      </c>
      <c r="P4" s="6"/>
      <c r="Q4" s="6"/>
      <c r="R4" s="6"/>
      <c r="S4" s="8" t="e" vm="5">
        <f>IF(Edgebands[[#This Row],[QR-Code]]&lt;&gt;"",_xlfn.IMAGE(Edgebands[[#This Row],[QR-Code]],"",3,100,100),"")</f>
        <v>#VALUE!</v>
      </c>
      <c r="AA4" s="1"/>
      <c r="AD4" s="1"/>
    </row>
    <row r="5" spans="1:30" ht="91.8" x14ac:dyDescent="0.3">
      <c r="A5" s="2"/>
      <c r="B5" s="5" t="e" vm="2">
        <f>IF(Edgebands[[#This Row],[Thumbnail]]&lt;&gt;"",_xlfn.IMAGE(Edgebands[[#This Row],[Thumbnail]],"",3,100,100),"")</f>
        <v>#VALUE!</v>
      </c>
      <c r="C5" s="6"/>
      <c r="D5" s="6"/>
      <c r="E5" s="6"/>
      <c r="F5" s="1"/>
      <c r="G5" s="1"/>
      <c r="H5" s="1"/>
      <c r="I5" s="1"/>
      <c r="J5" s="6"/>
      <c r="K5" s="9"/>
      <c r="L5" s="7">
        <f ca="1">DATEDIF(Edgebands[[#This Row],[Erstellungsdatum]],TODAY(),"M")</f>
        <v>0</v>
      </c>
      <c r="M5" s="10"/>
      <c r="N5" s="4"/>
      <c r="O5" s="4">
        <f>Edgebands[[#This Row],[Länge]]*Edgebands[[#This Row],[Kosten]]</f>
        <v>0</v>
      </c>
      <c r="P5" s="6"/>
      <c r="Q5" s="6"/>
      <c r="R5" s="6"/>
      <c r="S5" s="8" t="e" vm="6">
        <f>IF(Edgebands[[#This Row],[QR-Code]]&lt;&gt;"",_xlfn.IMAGE(Edgebands[[#This Row],[QR-Code]],"",3,100,100),"")</f>
        <v>#VALUE!</v>
      </c>
      <c r="AA5" s="1"/>
      <c r="AD5" s="1"/>
    </row>
    <row r="6" spans="1:30" ht="91.8" x14ac:dyDescent="0.3">
      <c r="A6" s="2"/>
      <c r="B6" s="5" t="str">
        <f>IF(Edgebands[[#This Row],[Thumbnail]]&lt;&gt;"",_xlfn.IMAGE(Edgebands[[#This Row],[Thumbnail]],"",3,100,100),"")</f>
        <v/>
      </c>
      <c r="C6" s="6"/>
      <c r="D6" s="6"/>
      <c r="E6" s="6"/>
      <c r="F6" s="1"/>
      <c r="G6" s="1"/>
      <c r="H6" s="1"/>
      <c r="I6" s="1"/>
      <c r="J6" s="6"/>
      <c r="K6" s="9"/>
      <c r="L6" s="7">
        <f ca="1">DATEDIF(Edgebands[[#This Row],[Erstellungsdatum]],TODAY(),"M")</f>
        <v>0</v>
      </c>
      <c r="M6" s="10"/>
      <c r="N6" s="4"/>
      <c r="O6" s="4">
        <f>Edgebands[[#This Row],[Länge]]*Edgebands[[#This Row],[Kosten]]</f>
        <v>0</v>
      </c>
      <c r="P6" s="6"/>
      <c r="Q6" s="6"/>
      <c r="R6" s="6"/>
      <c r="S6" s="8" t="e" vm="7">
        <f>IF(Edgebands[[#This Row],[QR-Code]]&lt;&gt;"",_xlfn.IMAGE(Edgebands[[#This Row],[QR-Code]],"",3,100,100),"")</f>
        <v>#VALUE!</v>
      </c>
      <c r="AA6" s="1"/>
      <c r="AD6" s="1"/>
    </row>
    <row r="7" spans="1:30" ht="91.8" x14ac:dyDescent="0.3">
      <c r="A7" s="2"/>
      <c r="B7" s="5" t="str">
        <f>IF(Edgebands[[#This Row],[Thumbnail]]&lt;&gt;"",_xlfn.IMAGE(Edgebands[[#This Row],[Thumbnail]],"",3,100,100),"")</f>
        <v/>
      </c>
      <c r="C7" s="6"/>
      <c r="D7" s="6"/>
      <c r="E7" s="6"/>
      <c r="F7" s="1"/>
      <c r="G7" s="1"/>
      <c r="H7" s="1"/>
      <c r="I7" s="1"/>
      <c r="J7" s="6"/>
      <c r="K7" s="9"/>
      <c r="L7" s="7">
        <f ca="1">DATEDIF(Edgebands[[#This Row],[Erstellungsdatum]],TODAY(),"M")</f>
        <v>1</v>
      </c>
      <c r="M7" s="10"/>
      <c r="N7" s="4"/>
      <c r="O7" s="4">
        <f>Edgebands[[#This Row],[Länge]]*Edgebands[[#This Row],[Kosten]]</f>
        <v>42.000000000000007</v>
      </c>
      <c r="P7" s="6"/>
      <c r="Q7" s="6"/>
      <c r="R7" s="6"/>
      <c r="S7" s="8" t="e" vm="8">
        <f>IF(Edgebands[[#This Row],[QR-Code]]&lt;&gt;"",_xlfn.IMAGE(Edgebands[[#This Row],[QR-Code]],"",3,100,100),"")</f>
        <v>#VALUE!</v>
      </c>
      <c r="AA7" s="1"/>
      <c r="AD7" s="1"/>
    </row>
    <row r="8" spans="1:30" ht="91.8" x14ac:dyDescent="0.3">
      <c r="A8" s="2"/>
      <c r="B8" s="5" t="str">
        <f>IF(Edgebands[[#This Row],[Thumbnail]]&lt;&gt;"",_xlfn.IMAGE(Edgebands[[#This Row],[Thumbnail]],"",3,100,100),"")</f>
        <v/>
      </c>
      <c r="C8" s="6"/>
      <c r="D8" s="6"/>
      <c r="E8" s="6"/>
      <c r="F8" s="1"/>
      <c r="G8" s="1"/>
      <c r="H8" s="1"/>
      <c r="I8" s="1"/>
      <c r="J8" s="6"/>
      <c r="K8" s="9"/>
      <c r="L8" s="7">
        <f ca="1">DATEDIF(Edgebands[[#This Row],[Erstellungsdatum]],TODAY(),"M")</f>
        <v>1</v>
      </c>
      <c r="M8" s="10"/>
      <c r="N8" s="4"/>
      <c r="O8" s="4">
        <f>Edgebands[[#This Row],[Länge]]*Edgebands[[#This Row],[Kosten]]</f>
        <v>42.000000000000007</v>
      </c>
      <c r="P8" s="6"/>
      <c r="Q8" s="6"/>
      <c r="R8" s="6"/>
      <c r="S8" s="8" t="e" vm="9">
        <f>IF(Edgebands[[#This Row],[QR-Code]]&lt;&gt;"",_xlfn.IMAGE(Edgebands[[#This Row],[QR-Code]],"",3,100,100),"")</f>
        <v>#VALUE!</v>
      </c>
      <c r="AA8" s="1"/>
      <c r="AD8" s="1"/>
    </row>
    <row r="9" spans="1:30" ht="91.8" x14ac:dyDescent="0.3">
      <c r="A9" s="2"/>
      <c r="B9" s="5" t="str">
        <f>IF(Edgebands[[#This Row],[Thumbnail]]&lt;&gt;"",_xlfn.IMAGE(Edgebands[[#This Row],[Thumbnail]],"",3,100,100),"")</f>
        <v/>
      </c>
      <c r="C9" s="6"/>
      <c r="D9" s="6"/>
      <c r="E9" s="6"/>
      <c r="F9" s="1"/>
      <c r="G9" s="1"/>
      <c r="H9" s="1"/>
      <c r="I9" s="1"/>
      <c r="J9" s="6"/>
      <c r="K9" s="9"/>
      <c r="L9" s="7">
        <f ca="1">DATEDIF(Edgebands[[#This Row],[Erstellungsdatum]],TODAY(),"M")</f>
        <v>1</v>
      </c>
      <c r="M9" s="10"/>
      <c r="N9" s="4"/>
      <c r="O9" s="4">
        <f>Edgebands[[#This Row],[Länge]]*Edgebands[[#This Row],[Kosten]]</f>
        <v>42.000000000000007</v>
      </c>
      <c r="P9" s="6"/>
      <c r="Q9" s="6"/>
      <c r="R9" s="6"/>
      <c r="S9" s="8" t="e" vm="10">
        <f>IF(Edgebands[[#This Row],[QR-Code]]&lt;&gt;"",_xlfn.IMAGE(Edgebands[[#This Row],[QR-Code]],"",3,100,100),"")</f>
        <v>#VALUE!</v>
      </c>
      <c r="AA9" s="1"/>
      <c r="AD9" s="1"/>
    </row>
    <row r="10" spans="1:30" ht="91.8" x14ac:dyDescent="0.3">
      <c r="A10" s="2"/>
      <c r="B10" s="5" t="str">
        <f>IF(Edgebands[[#This Row],[Thumbnail]]&lt;&gt;"",_xlfn.IMAGE(Edgebands[[#This Row],[Thumbnail]],"",3,100,100),"")</f>
        <v/>
      </c>
      <c r="C10" s="6"/>
      <c r="D10" s="6"/>
      <c r="E10" s="6"/>
      <c r="F10" s="1"/>
      <c r="G10" s="1"/>
      <c r="H10" s="1"/>
      <c r="I10" s="1"/>
      <c r="J10" s="6"/>
      <c r="K10" s="9"/>
      <c r="L10" s="7">
        <f ca="1">DATEDIF(Edgebands[[#This Row],[Erstellungsdatum]],TODAY(),"M")</f>
        <v>1</v>
      </c>
      <c r="M10" s="10"/>
      <c r="N10" s="4"/>
      <c r="O10" s="4">
        <f>Edgebands[[#This Row],[Länge]]*Edgebands[[#This Row],[Kosten]]</f>
        <v>42.000000000000007</v>
      </c>
      <c r="P10" s="6"/>
      <c r="Q10" s="6"/>
      <c r="R10" s="6"/>
      <c r="S10" s="8" t="e" vm="11">
        <f>IF(Edgebands[[#This Row],[QR-Code]]&lt;&gt;"",_xlfn.IMAGE(Edgebands[[#This Row],[QR-Code]],"",3,100,100),"")</f>
        <v>#VALUE!</v>
      </c>
      <c r="AA10" s="1"/>
      <c r="AD10" s="1"/>
    </row>
    <row r="11" spans="1:30" ht="91.8" x14ac:dyDescent="0.3">
      <c r="A11" s="2"/>
      <c r="B11" s="5" t="e" vm="2">
        <f>IF(Edgebands[[#This Row],[Thumbnail]]&lt;&gt;"",_xlfn.IMAGE(Edgebands[[#This Row],[Thumbnail]],"",3,100,100),"")</f>
        <v>#VALUE!</v>
      </c>
      <c r="C11" s="6"/>
      <c r="D11" s="6"/>
      <c r="E11" s="6"/>
      <c r="F11" s="1"/>
      <c r="G11" s="1"/>
      <c r="H11" s="1"/>
      <c r="I11" s="1"/>
      <c r="J11" s="6"/>
      <c r="K11" s="9"/>
      <c r="L11" s="7">
        <f ca="1">DATEDIF(Edgebands[[#This Row],[Erstellungsdatum]],TODAY(),"M")</f>
        <v>1</v>
      </c>
      <c r="M11" s="10"/>
      <c r="N11" s="4"/>
      <c r="O11" s="4">
        <f>Edgebands[[#This Row],[Länge]]*Edgebands[[#This Row],[Kosten]]</f>
        <v>0</v>
      </c>
      <c r="P11" s="6"/>
      <c r="Q11" s="6"/>
      <c r="R11" s="6"/>
      <c r="S11" s="8" t="e" vm="12">
        <f>IF(Edgebands[[#This Row],[QR-Code]]&lt;&gt;"",_xlfn.IMAGE(Edgebands[[#This Row],[QR-Code]],"",3,100,100),"")</f>
        <v>#VALUE!</v>
      </c>
      <c r="AA11" s="1"/>
      <c r="AD11" s="1"/>
    </row>
    <row r="12" spans="1:30" ht="91.8" x14ac:dyDescent="0.3">
      <c r="A12" s="2"/>
      <c r="B12" s="5" t="e" vm="13">
        <f>IF(Edgebands[[#This Row],[Thumbnail]]&lt;&gt;"",_xlfn.IMAGE(Edgebands[[#This Row],[Thumbnail]],"",3,100,100),"")</f>
        <v>#VALUE!</v>
      </c>
      <c r="C12" s="6"/>
      <c r="D12" s="6"/>
      <c r="E12" s="6"/>
      <c r="F12" s="1"/>
      <c r="G12" s="1"/>
      <c r="H12" s="1"/>
      <c r="I12" s="1"/>
      <c r="J12" s="6"/>
      <c r="K12" s="9"/>
      <c r="L12" s="7">
        <f ca="1">DATEDIF(Edgebands[[#This Row],[Erstellungsdatum]],TODAY(),"M")</f>
        <v>1</v>
      </c>
      <c r="M12" s="10"/>
      <c r="N12" s="4"/>
      <c r="O12" s="4">
        <f>Edgebands[[#This Row],[Länge]]*Edgebands[[#This Row],[Kosten]]</f>
        <v>0</v>
      </c>
      <c r="P12" s="6"/>
      <c r="Q12" s="6"/>
      <c r="R12" s="6"/>
      <c r="S12" s="8" t="e" vm="14">
        <f>IF(Edgebands[[#This Row],[QR-Code]]&lt;&gt;"",_xlfn.IMAGE(Edgebands[[#This Row],[QR-Code]],"",3,100,100),"")</f>
        <v>#VALUE!</v>
      </c>
      <c r="AA12" s="1"/>
      <c r="AD12" s="1"/>
    </row>
  </sheetData>
  <phoneticPr fontId="2" type="noConversion"/>
  <pageMargins left="0.7" right="0.7" top="0.75" bottom="0.75" header="0.3" footer="0.3"/>
  <pageSetup paperSize="9" orientation="portrait" r:id="rId1"/>
  <headerFoot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Matei Lazar</dc:creator>
  <cp:lastModifiedBy>Matei Lazar</cp:lastModifiedBy>
  <dcterms:created xsi:type="dcterms:W3CDTF">2015-06-05T18:17:20Z</dcterms:created>
  <dcterms:modified xsi:type="dcterms:W3CDTF">2024-12-12T10:56:08Z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</Properties>
</file>