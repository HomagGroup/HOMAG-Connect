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08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git\HOMAG-Connect\Applications\MaterialAssist\Samples\Statistics\Excel\Templates\DisposalCandidates\"/>
    </mc:Choice>
  </mc:AlternateContent>
  <xr:revisionPtr revIDLastSave="0" documentId="8_{4028FF94-1F4A-4F99-9BF7-212023AA12EC}" xr6:coauthVersionLast="47" xr6:coauthVersionMax="47" xr10:uidLastSave="{00000000-0000-0000-0000-000000000000}"/>
  <bookViews>
    <workbookView xWindow="4290" yWindow="4290" windowWidth="43200" windowHeight="23445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8" i="2"/>
  <c r="B7" i="2"/>
  <c r="L2" i="2"/>
  <c r="L9" i="2"/>
  <c r="L10" i="2"/>
  <c r="L11" i="2"/>
  <c r="L3" i="2"/>
  <c r="L4" i="2"/>
  <c r="L5" i="2"/>
  <c r="L6" i="2"/>
  <c r="L8" i="2"/>
  <c r="L7" i="2"/>
  <c r="O2" i="2"/>
  <c r="O9" i="2"/>
  <c r="O10" i="2"/>
  <c r="O11" i="2"/>
  <c r="O3" i="2"/>
  <c r="O4" i="2"/>
  <c r="O5" i="2"/>
  <c r="O6" i="2"/>
  <c r="O8" i="2"/>
  <c r="O7" i="2"/>
  <c r="S2" i="2"/>
  <c r="S9" i="2"/>
  <c r="S10" i="2"/>
  <c r="S11" i="2"/>
  <c r="S3" i="2"/>
  <c r="S4" i="2"/>
  <c r="S5" i="2"/>
  <c r="S6" i="2"/>
  <c r="S8" i="2"/>
  <c r="S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<sst xmlns="http://schemas.openxmlformats.org/spreadsheetml/2006/main" count="4" uniqueCount="4">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</sst>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Link" xfId="1" builtinId="8"/>
    <cellStyle name="Standard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E8A4B21-BF2B-4D16-BA90-FB54295D18DD}" autoFormatId="16" applyNumberFormats="0" applyBorderFormats="0" applyFontFormats="0" applyPatternFormats="0" applyAlignmentFormats="0" applyWidthHeightFormats="0">
  <queryTableRefresh nextId="29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13" name="Edgeband last used" tableColumnId="13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0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ABS_A_Dash_of_Freedom_1.00_100.0_HM%237" TargetMode="External"/><Relationship Id="rId17" Type="http://schemas.openxmlformats.org/officeDocument/2006/relationships/image" Target="../media/image8.5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NN_Schwarz_16.50_24.5_HM%236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8T00%3A00%3A00Z&amp;sr=c&amp;sp=r&amp;sig=0ryfNfhth15P83NpXg2aUacHaKN6yKDQSemn1FxAId4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7a739061-3532-4676-a13b-156e9cb8770d/Picture/ThumbnailSquare.png?sv=2024-08-04&amp;se=2024-12-18T00%3A00%3A00Z&amp;sr=c&amp;sp=r&amp;sig=0ryfNfhth15P83NpXg2aUacHaKN6yKDQSemn1FxAId4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c0531413-d0ee-47ca-b3f4-df14d812deb8/Picture/ThumbnailSquare.png?sv=2024-08-04&amp;se=2024-12-18T00%3A00%3A00Z&amp;sr=c&amp;sp=r&amp;sig=0ryfNfhth15P83NpXg2aUacHaKN6yKDQSemn1FxAId4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  <sortCondition ref="M2:M11"/>
  </sortState>
  <tableColumns count="19">
    <tableColumn id="2" xr3:uid="{069CC405-D913-4216-A405-D12B04DB6220}" uniqueName="2" name="Thumbnail" queryTableFieldId="2" dataDxfId="18" dataCellStyle="Link"/>
    <tableColumn id="1" xr3:uid="{EDA1A086-4F73-43D3-99AF-57DE4D4983DC}" uniqueName="1" name="Bild" queryTableFieldId="18" dataDxfId="17" dataCellStyle="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" queryTableFieldId="4" dataDxfId="15"/>
    <tableColumn id="5" xr3:uid="{B24F65AD-81A2-4F5F-B2F5-23B9C1E67DF6}" uniqueName="5" name="Kantencode" queryTableFieldId="5" dataDxfId="14"/>
    <tableColumn id="6" xr3:uid="{067541D4-C373-46B0-8F5C-C04864283DED}" uniqueName="6" name="Länge" queryTableFieldId="6" dataDxfId="13"/>
    <tableColumn id="7" xr3:uid="{64FC45E9-42D7-4323-A48A-AA81794FACEB}" uniqueName="7" name="Höhe" queryTableFieldId="7" dataDxfId="12"/>
    <tableColumn id="9" xr3:uid="{6B198FD5-A790-4B4C-B757-C16303CB2226}" uniqueName="9" name="Standardlänge" queryTableFieldId="9" dataDxfId="11"/>
    <tableColumn id="10" xr3:uid="{AD6C3C36-BAAF-4DE1-ABF7-E355388E673C}" uniqueName="10" name="Menge" queryTableFieldId="10" dataDxfId="10"/>
    <tableColumn id="11" xr3:uid="{1BAD892F-BFD3-424F-824C-DBFA2D7C3443}" uniqueName="11" name="Verwaltung" queryTableFieldId="11" dataDxfId="9"/>
    <tableColumn id="12" xr3:uid="{D74FE68F-5076-4D6C-95C9-9EFDD1C2A5E3}" uniqueName="12" name="Erstellungsdatum" queryTableFieldId="12" dataDxfId="8"/>
    <tableColumn id="18" xr3:uid="{55F5FD47-CB06-4CF3-8EE5-458EA7314137}" uniqueName="18" name="Alter (Monate)" queryTableFieldId="21" dataDxfId="7">
      <calculatedColumnFormula>DATEDIF(Edgebands[[#This Row],[Erstellungsdatum]],TODAY(),"M")</calculatedColumnFormula>
    </tableColumn>
    <tableColumn id="13" xr3:uid="{54B657CE-E663-4628-BD8C-89DF050E4E18}" uniqueName="13" name="Material zuletzt verwendet" queryTableFieldId="13" dataDxfId="6"/>
    <tableColumn id="20" xr3:uid="{C68325A4-91C4-4F55-957E-2703C56F59A3}" uniqueName="20" name="Kosten" queryTableFieldId="23" dataDxfId="5"/>
    <tableColumn id="23" xr3:uid="{BB1BA370-D6F6-455F-B467-5AB904F3CBCC}" uniqueName="23" name="Gesamtwert" queryTableFieldId="28" dataDxfId="4">
      <calculatedColumnFormula>Edgebands[[#This Row],[Länge]]*Edgebands[[#This Row],[Kosten]]</calculatedColumnFormula>
    </tableColumn>
    <tableColumn id="21" xr3:uid="{589E78DE-6ACC-431B-890A-75356A26118C}" uniqueName="21" name="Anmerkungen" queryTableFieldId="24" dataDxfId="3"/>
    <tableColumn id="15" xr3:uid="{F3B7864A-FCD0-4C95-AA22-A3CCC39D028C}" uniqueName="15" name="Lagerplatz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Q2" sqref="Q2"/>
    </sheetView>
  </sheetViews>
  <sheetFormatPr baseColWidth="10" defaultColWidth="8.85546875" defaultRowHeight="15" x14ac:dyDescent="0.25"/>
  <cols>
    <col min="1" max="1" width="17.7109375" style="1" hidden="1" customWidth="1"/>
    <col min="2" max="2" width="9" style="1" bestFit="1" customWidth="1"/>
    <col min="3" max="3" width="5" style="1" bestFit="1" customWidth="1"/>
    <col min="4" max="4" width="19" style="1" bestFit="1" customWidth="1"/>
    <col min="5" max="5" width="38.7109375" style="1" bestFit="1" customWidth="1"/>
    <col min="6" max="6" width="9.28515625" style="1" bestFit="1" customWidth="1"/>
    <col min="7" max="7" width="9.140625" style="1" bestFit="1" customWidth="1"/>
    <col min="8" max="8" width="13.85546875" style="1" bestFit="1" customWidth="1"/>
    <col min="9" max="9" width="11" style="1" bestFit="1" customWidth="1"/>
    <col min="10" max="10" width="19.7109375" style="1" bestFit="1" customWidth="1"/>
    <col min="11" max="11" width="15.28515625" style="1" bestFit="1" customWidth="1"/>
    <col min="12" max="12" width="16.85546875" style="5" bestFit="1" customWidth="1"/>
    <col min="13" max="13" width="20.42578125" style="1" bestFit="1" customWidth="1"/>
    <col min="14" max="14" width="11.42578125" style="1" bestFit="1" customWidth="1"/>
    <col min="15" max="15" width="20.42578125" style="6" bestFit="1" customWidth="1"/>
    <col min="16" max="16" width="49.42578125" style="1" bestFit="1" customWidth="1"/>
    <col min="17" max="17" width="21.85546875" style="1" bestFit="1" customWidth="1"/>
    <col min="18" max="18" width="27.140625" style="1" hidden="1" customWidth="1"/>
    <col min="19" max="19" width="58.5703125" style="1" bestFit="1" customWidth="1"/>
    <col min="20" max="20" width="10.140625" style="1" bestFit="1" customWidth="1"/>
    <col min="21" max="16384" width="8.85546875" style="1"/>
  </cols>
  <sheetData>
    <row r="1" spans="1:19" x14ac:dyDescent="0.25">
      <c r="A1" s="1"/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5" t="s">
        <v>2</v>
      </c>
      <c r="M1" s="1"/>
      <c r="N1" s="1"/>
      <c r="O1" s="6" t="s">
        <v>3</v>
      </c>
      <c r="P1" s="1"/>
      <c r="Q1" s="1"/>
      <c r="R1" s="1"/>
      <c r="S1" s="1" t="s">
        <v>0</v>
      </c>
    </row>
    <row r="2" spans="1:19" ht="92.25" x14ac:dyDescent="0.25">
      <c r="A2" s="4"/>
      <c r="B2" s="7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2"/>
      <c r="L2" s="5">
        <f ca="1">DATEDIF(Edgebands[[#This Row],[Erstellungsdatum]],TODAY(),"M")</f>
        <v>1</v>
      </c>
      <c r="M2" s="3"/>
      <c r="N2" s="1"/>
      <c r="O2" s="6">
        <f>Edgebands[[#This Row],[Länge]]*Edgebands[[#This Row],[Kosten]]</f>
        <v>37.5</v>
      </c>
      <c r="Q2" s="1"/>
      <c r="R2" s="1"/>
      <c r="S2" s="8" t="e" vm="1">
        <f>IF(Edgebands[[#This Row],[QR-Code]]&lt;&gt;"",_xlfn.IMAGE(Edgebands[[#This Row],[QR-Code]],"",3,100,100),"")</f>
        <v>#VALUE!</v>
      </c>
    </row>
    <row r="3" spans="1:19" ht="92.25" x14ac:dyDescent="0.25">
      <c r="A3" s="4"/>
      <c r="B3" s="7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2"/>
      <c r="L3" s="5">
        <f ca="1">DATEDIF(Edgebands[[#This Row],[Erstellungsdatum]],TODAY(),"M")</f>
        <v>1</v>
      </c>
      <c r="M3" s="3"/>
      <c r="N3" s="1"/>
      <c r="O3" s="6">
        <f>Edgebands[[#This Row],[Länge]]*Edgebands[[#This Row],[Kosten]]</f>
        <v>42.000000000000007</v>
      </c>
      <c r="Q3" s="1"/>
      <c r="R3" s="1"/>
      <c r="S3" s="8" t="e" vm="2">
        <f>IF(Edgebands[[#This Row],[QR-Code]]&lt;&gt;"",_xlfn.IMAGE(Edgebands[[#This Row],[QR-Code]],"",3,100,100),"")</f>
        <v>#VALUE!</v>
      </c>
    </row>
    <row r="4" spans="1:19" ht="92.25" x14ac:dyDescent="0.25">
      <c r="A4" s="4"/>
      <c r="B4" s="7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2"/>
      <c r="L4" s="5">
        <f ca="1">DATEDIF(Edgebands[[#This Row],[Erstellungsdatum]],TODAY(),"M")</f>
        <v>1</v>
      </c>
      <c r="M4" s="3"/>
      <c r="N4" s="1"/>
      <c r="O4" s="6">
        <f>Edgebands[[#This Row],[Länge]]*Edgebands[[#This Row],[Kosten]]</f>
        <v>42.000000000000007</v>
      </c>
      <c r="R4" s="1"/>
      <c r="S4" s="8" t="e" vm="3">
        <f>IF(Edgebands[[#This Row],[QR-Code]]&lt;&gt;"",_xlfn.IMAGE(Edgebands[[#This Row],[QR-Code]],"",3,100,100),"")</f>
        <v>#VALUE!</v>
      </c>
    </row>
    <row r="5" spans="1:19" ht="92.25" x14ac:dyDescent="0.25">
      <c r="A5" s="4"/>
      <c r="B5" s="7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2"/>
      <c r="L5" s="5">
        <f ca="1">DATEDIF(Edgebands[[#This Row],[Erstellungsdatum]],TODAY(),"M")</f>
        <v>1</v>
      </c>
      <c r="M5" s="3"/>
      <c r="N5" s="1"/>
      <c r="O5" s="6">
        <f>Edgebands[[#This Row],[Länge]]*Edgebands[[#This Row],[Kosten]]</f>
        <v>42.000000000000007</v>
      </c>
      <c r="Q5" s="1"/>
      <c r="R5" s="1"/>
      <c r="S5" s="8" t="e" vm="4">
        <f>IF(Edgebands[[#This Row],[QR-Code]]&lt;&gt;"",_xlfn.IMAGE(Edgebands[[#This Row],[QR-Code]],"",3,100,100),"")</f>
        <v>#VALUE!</v>
      </c>
    </row>
    <row r="6" spans="1:19" ht="92.25" x14ac:dyDescent="0.25">
      <c r="A6" s="4"/>
      <c r="B6" s="7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2"/>
      <c r="L6" s="5">
        <f ca="1">DATEDIF(Edgebands[[#This Row],[Erstellungsdatum]],TODAY(),"M")</f>
        <v>1</v>
      </c>
      <c r="M6" s="3"/>
      <c r="N6" s="1"/>
      <c r="O6" s="6">
        <f>Edgebands[[#This Row],[Länge]]*Edgebands[[#This Row],[Kosten]]</f>
        <v>42.000000000000007</v>
      </c>
      <c r="R6" s="1"/>
      <c r="S6" s="8" t="e" vm="5">
        <f>IF(Edgebands[[#This Row],[QR-Code]]&lt;&gt;"",_xlfn.IMAGE(Edgebands[[#This Row],[QR-Code]],"",3,100,100),"")</f>
        <v>#VALUE!</v>
      </c>
    </row>
    <row r="7" spans="1:19" ht="92.25" x14ac:dyDescent="0.25">
      <c r="A7" s="4"/>
      <c r="B7" s="7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2"/>
      <c r="L7" s="5">
        <f ca="1">DATEDIF(Edgebands[[#This Row],[Erstellungsdatum]],TODAY(),"M")</f>
        <v>1</v>
      </c>
      <c r="M7" s="3"/>
      <c r="O7" s="6">
        <f>Edgebands[[#This Row],[Länge]]*Edgebands[[#This Row],[Kosten]]</f>
        <v>0</v>
      </c>
      <c r="P7" s="1"/>
      <c r="Q7" s="1"/>
      <c r="R7" s="1"/>
      <c r="S7" s="8" t="e" vm="7">
        <f>IF(Edgebands[[#This Row],[QR-Code]]&lt;&gt;"",_xlfn.IMAGE(Edgebands[[#This Row],[QR-Code]],"",3,100,100),"")</f>
        <v>#VALUE!</v>
      </c>
    </row>
    <row r="8" spans="1:19" ht="92.25" x14ac:dyDescent="0.25">
      <c r="A8" s="4"/>
      <c r="B8" s="7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2"/>
      <c r="L8" s="5">
        <f ca="1">DATEDIF(Edgebands[[#This Row],[Erstellungsdatum]],TODAY(),"M")</f>
        <v>1</v>
      </c>
      <c r="M8" s="3"/>
      <c r="O8" s="6">
        <f>Edgebands[[#This Row],[Länge]]*Edgebands[[#This Row],[Kosten]]</f>
        <v>0</v>
      </c>
      <c r="Q8" s="1"/>
      <c r="R8" s="1"/>
      <c r="S8" s="8" t="e" vm="9">
        <f>IF(Edgebands[[#This Row],[QR-Code]]&lt;&gt;"",_xlfn.IMAGE(Edgebands[[#This Row],[QR-Code]],"",3,100,100),"")</f>
        <v>#VALUE!</v>
      </c>
    </row>
    <row r="9" spans="1:19" ht="92.25" x14ac:dyDescent="0.25">
      <c r="A9" s="4"/>
      <c r="B9" s="7" t="e" vm="8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2"/>
      <c r="L9" s="5">
        <f ca="1">DATEDIF(Edgebands[[#This Row],[Erstellungsdatum]],TODAY(),"M")</f>
        <v>0</v>
      </c>
      <c r="M9" s="3"/>
      <c r="O9" s="6">
        <f>Edgebands[[#This Row],[Länge]]*Edgebands[[#This Row],[Kosten]]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</row>
    <row r="10" spans="1:19" ht="92.25" x14ac:dyDescent="0.25">
      <c r="A10" s="4"/>
      <c r="B10" s="7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2"/>
      <c r="L10" s="5">
        <f ca="1">DATEDIF(Edgebands[[#This Row],[Erstellungsdatum]],TODAY(),"M")</f>
        <v>0</v>
      </c>
      <c r="M10" s="3"/>
      <c r="O10" s="6">
        <f>Edgebands[[#This Row],[Länge]]*Edgebands[[#This Row],[Kosten]]</f>
        <v>0</v>
      </c>
      <c r="P10" s="1"/>
      <c r="Q10" s="1"/>
      <c r="R10" s="1"/>
      <c r="S10" s="8" t="e" vm="12">
        <f>IF(Edgebands[[#This Row],[QR-Code]]&lt;&gt;"",_xlfn.IMAGE(Edgebands[[#This Row],[QR-Code]],"",3,100,100),"")</f>
        <v>#VALUE!</v>
      </c>
    </row>
    <row r="11" spans="1:19" ht="92.25" x14ac:dyDescent="0.25">
      <c r="A11" s="4"/>
      <c r="B11" s="7" t="e" vm="8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2"/>
      <c r="L11" s="5">
        <f ca="1">DATEDIF(Edgebands[[#This Row],[Erstellungsdatum]],TODAY(),"M")</f>
        <v>0</v>
      </c>
      <c r="M11" s="3"/>
      <c r="O11" s="6">
        <f>Edgebands[[#This Row],[Länge]]*Edgebands[[#This Row],[Kosten]]</f>
        <v>0</v>
      </c>
      <c r="R11" s="1"/>
      <c r="S11" s="8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headerFooter>
    <oddFooter>&amp;C_x000D_&amp;1#&amp;"Calibri"&amp;10&amp;K000000 Internal use only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Büche, Johannes</dc:creator>
  <cp:lastModifiedBy>Büche, Johannes</cp:lastModifiedBy>
  <dcterms:created xsi:type="dcterms:W3CDTF">2015-06-05T18:17:20Z</dcterms:created>
  <dcterms:modified xsi:type="dcterms:W3CDTF">2024-12-11T08:05:13Z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