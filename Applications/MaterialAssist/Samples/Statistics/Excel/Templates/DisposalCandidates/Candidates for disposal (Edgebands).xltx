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GitHub\HOMAG-Connect\Applications\MaterialAssist\Samples\Statistics\Excel\Templates\DisposalCandidates\"/>
    </mc:Choice>
  </mc:AlternateContent>
  <xr:revisionPtr revIDLastSave="0" documentId="8_{ACBD8397-2EED-4474-89C1-786BCDA8E410}" xr6:coauthVersionLast="47" xr6:coauthVersionMax="47" xr10:uidLastSave="{00000000-0000-0000-0000-000000000000}"/>
  <bookViews>
    <workbookView xWindow="-108" yWindow="-108" windowWidth="46296" windowHeight="25416" xr2:uid="{00000000-000D-0000-FFFF-FFFF00000000}"/>
  </bookViews>
  <sheets>
    <sheet name="Edgebands" sheetId="2" r:id="rId1"/>
  </sheets>
  <definedNames>
    <definedName name="_xlnm.Print_Area" localSheetId="0">Edgebands[[#All],[Thumbnail]:[Notes]]</definedName>
    <definedName name="ExternalData_1" localSheetId="0" hidden="1">Edgebands!$A$1:$S$70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</futureMetadata>
  <valueMetadata count="8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</valueMetadata>
</metadata>
</file>

<file path=xl/sharedStrings.xml><?xml version="1.0" encoding="utf-8"?>
<sst xmlns="http://schemas.openxmlformats.org/spreadsheetml/2006/main" count="4" uniqueCount="4">
  <si>
    <t>Preview</t>
  </si>
  <si>
    <t>QRCode</t>
  </si>
  <si>
    <t>Age (Month)</t>
  </si>
  <si>
    <t>Value / Coil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</si>
</sst>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top"/>
    </xf>
    <xf numFmtId="0" fontId="1" fillId="0" borderId="0" xfId="1" applyNumberFormat="1" applyAlignment="1">
      <alignment vertical="top"/>
    </xf>
    <xf numFmtId="0" fontId="0" fillId="0" borderId="0" xfId="0" applyNumberFormat="1" applyAlignment="1">
      <alignment vertical="center"/>
    </xf>
    <xf numFmtId="0" fontId="3" fillId="0" borderId="0" xfId="0" applyNumberFormat="1" applyFont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NumberFormat="1" applyAlignment="1">
      <alignment horizontal="center" vertical="center"/>
    </xf>
  </cellXfs>
  <cellStyles count="2">
    <cellStyle name="Link" xfId="1" builtinId="8"/>
    <cellStyle name="Standard" xfId="0" builtinId="0"/>
  </cellStyles>
  <dxfs count="21"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54">
    <queryTableFields count="19">
      <queryTableField id="2" name="Thumbnail" tableColumnId="2"/>
      <queryTableField id="3" name="Id" tableColumnId="3"/>
      <queryTableField id="20" dataBound="0" tableColumnId="17"/>
      <queryTableField id="18" dataBound="0" tableColumnId="1"/>
      <queryTableField id="5" name="Edgeband code" tableColumnId="5"/>
      <queryTableField id="4" name="Material category" tableColumnId="4"/>
      <queryTableField id="6" name="Length" tableColumnId="6"/>
      <queryTableField id="7" name="Height" tableColumnId="7"/>
      <queryTableField id="23" name="Costs / m" tableColumnId="20"/>
      <queryTableField id="10" name="Quantity" tableColumnId="10"/>
      <queryTableField id="9" name="Total length" tableColumnId="9"/>
      <queryTableField id="11" name="Management type" tableColumnId="11"/>
      <queryTableField id="12" name="Creation date" tableColumnId="12"/>
      <queryTableField id="28" dataBound="0" tableColumnId="23"/>
      <queryTableField id="21" dataBound="0" tableColumnId="18"/>
      <queryTableField id="29" name="Edgebandtype last used" tableColumnId="8"/>
      <queryTableField id="15" name="Storage location" tableColumnId="15"/>
      <queryTableField id="24" name="Notes" tableColumnId="21"/>
      <queryTableField id="16" name="QR-Code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hyperlink" Target="https://intellisettingscdn.homag.cloud/62b8fee0-1b35-41c1-b03a-b947304a0d58/materials/654c40a5-4d4f-49ad-a5e4-44228c12804d/Picture/ThumbnailSquare.png?sv=2024-08-04&amp;se=2024-12-24T00%3A00%3A00Z&amp;sr=c&amp;sp=r&amp;sig=VNpheyyzCTGTEInDY%2BrCKEdNStQg0lAHx9mJF4CHJqU%3D" TargetMode="External"/><Relationship Id="rId21" Type="http://schemas.openxmlformats.org/officeDocument/2006/relationships/hyperlink" Target="https://api.qrserver.com/v1/create-qr-code/?data=%7b%22c%22:%22hg%22,%22id%22:%22122%22,%22t%22:%22Edgeband%22%7d" TargetMode="External"/><Relationship Id="rId34" Type="http://schemas.openxmlformats.org/officeDocument/2006/relationships/hyperlink" Target="https://api.qrserver.com/v1/create-qr-code/?data=%7b%22c%22:%22hg%22,%22id%22:%22138%22,%22t%22:%22Edgeband%22%7d" TargetMode="External"/><Relationship Id="rId42" Type="http://schemas.openxmlformats.org/officeDocument/2006/relationships/hyperlink" Target="https://api.qrserver.com/v1/create-qr-code/?data=%7b%22c%22:%22hg%22,%22id%22:%22144%22,%22t%22:%22Edgeband%22%7d" TargetMode="External"/><Relationship Id="rId47" Type="http://schemas.openxmlformats.org/officeDocument/2006/relationships/hyperlink" Target="https://intellisettingscdn.homag.cloud/62b8fee0-1b35-41c1-b03a-b947304a0d58/materials/04d9e29c-271e-47be-a3ea-1cff6302517a/Texture/ThumbnailSquare.png?sv=2024-08-04&amp;se=2024-12-24T00%3A00%3A00Z&amp;sr=c&amp;sp=r&amp;sig=VNpheyyzCTGTEInDY%2BrCKEdNStQg0lAHx9mJF4CHJqU%3D" TargetMode="External"/><Relationship Id="rId50" Type="http://schemas.openxmlformats.org/officeDocument/2006/relationships/hyperlink" Target="https://intellisettingscdn.homag.cloud/62b8fee0-1b35-41c1-b03a-b947304a0d58/materials/3d277002-ca3c-4753-afab-dbd9afa2e372/Picture/ThumbnailSquare.png?sv=2024-08-04&amp;se=2024-12-24T00%3A00%3A00Z&amp;sr=c&amp;sp=r&amp;sig=VNpheyyzCTGTEInDY%2BrCKEdNStQg0lAHx9mJF4CHJqU%3D" TargetMode="External"/><Relationship Id="rId55" Type="http://schemas.openxmlformats.org/officeDocument/2006/relationships/hyperlink" Target="https://api.qrserver.com/v1/create-qr-code/?data=%7b%22c%22:%22hg%22,%22id%22:%22162%22,%22t%22:%22Edgeband%22%7d" TargetMode="External"/><Relationship Id="rId63" Type="http://schemas.openxmlformats.org/officeDocument/2006/relationships/hyperlink" Target="https://api.qrserver.com/v1/create-qr-code/?data=%7b%22c%22:%22hg%22,%22id%22:%22170%22,%22t%22:%22Edgeband%22%7d" TargetMode="External"/><Relationship Id="rId68" Type="http://schemas.openxmlformats.org/officeDocument/2006/relationships/hyperlink" Target="https://api.qrserver.com/v1/create-qr-code/?data=%7b%22c%22:%22hg%22,%22id%22:%22175%22,%22t%22:%22Edgeband%22%7d" TargetMode="External"/><Relationship Id="rId76" Type="http://schemas.openxmlformats.org/officeDocument/2006/relationships/image" Target="../media/image13.png"/><Relationship Id="rId84" Type="http://schemas.openxmlformats.org/officeDocument/2006/relationships/hyperlink" Target="https://api.qrserver.com/v1/create-qr-code/?data=%7b%22c%22:%22hg%22,%22id%22:%22191%22,%22t%22:%22Edgeband%22%7d" TargetMode="External"/><Relationship Id="rId89" Type="http://schemas.openxmlformats.org/officeDocument/2006/relationships/hyperlink" Target="https://api.qrserver.com/v1/create-qr-code/?data=%7b%22c%22:%22hg%22,%22id%22:%2291%22,%22t%22:%22Edgeband%22%7d" TargetMode="External"/><Relationship Id="rId97" Type="http://schemas.openxmlformats.org/officeDocument/2006/relationships/hyperlink" Target="https://api.qrserver.com/v1/create-qr-code/?data=%7b%22c%22:%22hg%22,%22id%22:%2297%22,%22t%22:%22Edgeband%22%7d" TargetMode="External"/><Relationship Id="rId7" Type="http://schemas.openxmlformats.org/officeDocument/2006/relationships/image" Target="../media/image2.png"/><Relationship Id="rId71" Type="http://schemas.openxmlformats.org/officeDocument/2006/relationships/hyperlink" Target="https://api.qrserver.com/v1/create-qr-code/?data=%7b%22c%22:%22hg%22,%22id%22:%22182%22,%22t%22:%22Edgeband%22%7d" TargetMode="External"/><Relationship Id="rId92" Type="http://schemas.openxmlformats.org/officeDocument/2006/relationships/hyperlink" Target="https://api.qrserver.com/v1/create-qr-code/?data=%7b%22c%22:%22hg%22,%22id%22:%2293%22,%22t%22:%22Edgeband%22%7d" TargetMode="External"/><Relationship Id="rId2" Type="http://schemas.openxmlformats.org/officeDocument/2006/relationships/hyperlink" Target="https://intellisettingscdn.homag.cloud/62b8fee0-1b35-41c1-b03a-b947304a0d58/materials/595fcf1b-a02d-475d-b9df-31a1b452c251/Picture/ThumbnailSquare.png?sv=2024-08-04&amp;se=2024-12-24T00%3A00%3A00Z&amp;sr=c&amp;sp=r&amp;sig=VNpheyyzCTGTEInDY%2BrCKEdNStQg0lAHx9mJF4CHJqU%3D" TargetMode="External"/><Relationship Id="rId16" Type="http://schemas.openxmlformats.org/officeDocument/2006/relationships/hyperlink" Target="https://intellisettingscdn.homag.cloud/62b8fee0-1b35-41c1-b03a-b947304a0d58/materials/c66ef725-7209-4a82-8a4c-35b9c212169c/Picture/ThumbnailSquare.png?sv=2024-08-04&amp;se=2024-12-24T00%3A00%3A00Z&amp;sr=c&amp;sp=r&amp;sig=VNpheyyzCTGTEInDY%2BrCKEdNStQg0lAHx9mJF4CHJqU%3D" TargetMode="External"/><Relationship Id="rId29" Type="http://schemas.openxmlformats.org/officeDocument/2006/relationships/hyperlink" Target="https://intellisettingscdn.homag.cloud/62b8fee0-1b35-41c1-b03a-b947304a0d58/materials/7deb4606-529f-46a5-a184-89bede0b3077/Picture/ThumbnailSquare.png?sv=2024-08-04&amp;se=2024-12-24T00%3A00%3A00Z&amp;sr=c&amp;sp=r&amp;sig=VNpheyyzCTGTEInDY%2BrCKEdNStQg0lAHx9mJF4CHJqU%3D" TargetMode="External"/><Relationship Id="rId11" Type="http://schemas.openxmlformats.org/officeDocument/2006/relationships/hyperlink" Target="https://api.qrserver.com/v1/create-qr-code/?data=%7b%22c%22:%22hg%22,%22id%22:%22114%22,%22t%22:%22Edgeband%22%7d" TargetMode="External"/><Relationship Id="rId24" Type="http://schemas.openxmlformats.org/officeDocument/2006/relationships/image" Target="../media/image5.png"/><Relationship Id="rId32" Type="http://schemas.openxmlformats.org/officeDocument/2006/relationships/hyperlink" Target="https://intellisettingscdn.homag.cloud/62b8fee0-1b35-41c1-b03a-b947304a0d58/materials/990d3a4e-1390-4346-96c2-cedf436a6e09/Picture/ThumbnailSquare.png?sv=2024-08-04&amp;se=2024-12-24T00%3A00%3A00Z&amp;sr=c&amp;sp=r&amp;sig=VNpheyyzCTGTEInDY%2BrCKEdNStQg0lAHx9mJF4CHJqU%3D" TargetMode="External"/><Relationship Id="rId37" Type="http://schemas.openxmlformats.org/officeDocument/2006/relationships/hyperlink" Target="https://api.qrserver.com/v1/create-qr-code/?data=%7b%22c%22:%22hg%22,%22id%22:%22139%22,%22t%22:%22Edgeband%22%7d" TargetMode="External"/><Relationship Id="rId40" Type="http://schemas.openxmlformats.org/officeDocument/2006/relationships/hyperlink" Target="https://api.qrserver.com/v1/create-qr-code/?data=%7b%22c%22:%22hg%22,%22id%22:%22142%22,%22t%22:%22Edgeband%22%7d" TargetMode="External"/><Relationship Id="rId45" Type="http://schemas.openxmlformats.org/officeDocument/2006/relationships/hyperlink" Target="https://api.qrserver.com/v1/create-qr-code/?data=%7b%22c%22:%22hg%22,%22id%22:%22147%22,%22t%22:%22Edgeband%22%7d" TargetMode="External"/><Relationship Id="rId53" Type="http://schemas.openxmlformats.org/officeDocument/2006/relationships/hyperlink" Target="https://api.qrserver.com/v1/create-qr-code/?data=%7b%22c%22:%22hg%22,%22id%22:%22161%22,%22t%22:%22Edgeband%22%7d" TargetMode="External"/><Relationship Id="rId58" Type="http://schemas.openxmlformats.org/officeDocument/2006/relationships/hyperlink" Target="https://api.qrserver.com/v1/create-qr-code/?data=%7b%22c%22:%22hg%22,%22id%22:%22165%22,%22t%22:%22Edgeband%22%7d" TargetMode="External"/><Relationship Id="rId66" Type="http://schemas.openxmlformats.org/officeDocument/2006/relationships/hyperlink" Target="https://api.qrserver.com/v1/create-qr-code/?data=%7b%22c%22:%22hg%22,%22id%22:%22173%22,%22t%22:%22Edgeband%22%7d" TargetMode="External"/><Relationship Id="rId74" Type="http://schemas.openxmlformats.org/officeDocument/2006/relationships/hyperlink" Target="https://api.qrserver.com/v1/create-qr-code/?data=%7b%22c%22:%22hg%22,%22id%22:%22183%22,%22t%22:%22Edgeband%22%7d" TargetMode="External"/><Relationship Id="rId79" Type="http://schemas.openxmlformats.org/officeDocument/2006/relationships/hyperlink" Target="https://api.qrserver.com/v1/create-qr-code/?data=%7b%22c%22:%22hg%22,%22id%22:%22186%22,%22t%22:%22Edgeband%22%7d" TargetMode="External"/><Relationship Id="rId87" Type="http://schemas.openxmlformats.org/officeDocument/2006/relationships/hyperlink" Target="https://api.qrserver.com/v1/create-qr-code/?data=%7b%22c%22:%22hg%22,%22id%22:%2289%22,%22t%22:%22Edgeband%22%7d" TargetMode="External"/><Relationship Id="rId5" Type="http://schemas.openxmlformats.org/officeDocument/2006/relationships/hyperlink" Target="https://api.qrserver.com/v1/create-qr-code/?data=%7b%22c%22:%22hg%22,%22id%22:%22109%22,%22t%22:%22Edgeband%22%7d" TargetMode="External"/><Relationship Id="rId61" Type="http://schemas.openxmlformats.org/officeDocument/2006/relationships/hyperlink" Target="https://api.qrserver.com/v1/create-qr-code/?data=%7b%22c%22:%22hg%22,%22id%22:%22168%22,%22t%22:%22Edgeband%22%7d" TargetMode="External"/><Relationship Id="rId82" Type="http://schemas.openxmlformats.org/officeDocument/2006/relationships/hyperlink" Target="https://api.qrserver.com/v1/create-qr-code/?data=%7b%22c%22:%22hg%22,%22id%22:%22189%22,%22t%22:%22Edgeband%22%7d" TargetMode="External"/><Relationship Id="rId90" Type="http://schemas.openxmlformats.org/officeDocument/2006/relationships/hyperlink" Target="https://intellisettingscdn.homag.cloud/62b8fee0-1b35-41c1-b03a-b947304a0d58/materials/76d63234-6924-45bf-b28d-b4e70a409445/Picture/ThumbnailSquare.png?sv=2024-08-04&amp;se=2024-12-24T00%3A00%3A00Z&amp;sr=c&amp;sp=r&amp;sig=VNpheyyzCTGTEInDY%2BrCKEdNStQg0lAHx9mJF4CHJqU%3D" TargetMode="External"/><Relationship Id="rId95" Type="http://schemas.openxmlformats.org/officeDocument/2006/relationships/hyperlink" Target="https://api.qrserver.com/v1/create-qr-code/?data=%7b%22c%22:%22hg%22,%22id%22:%2294%22,%22t%22:%22Edgeband%22%7d" TargetMode="External"/><Relationship Id="rId19" Type="http://schemas.openxmlformats.org/officeDocument/2006/relationships/hyperlink" Target="https://api.qrserver.com/v1/create-qr-code/?data=%7b%22c%22:%22hg%22,%22id%22:%22120%22,%22t%22:%22Edgeband%22%7d" TargetMode="External"/><Relationship Id="rId14" Type="http://schemas.openxmlformats.org/officeDocument/2006/relationships/hyperlink" Target="https://api.qrserver.com/v1/create-qr-code/?data=%7b%22c%22:%22hg%22,%22id%22:%22115%22,%22t%22:%22Edgeband%22%7d" TargetMode="External"/><Relationship Id="rId22" Type="http://schemas.openxmlformats.org/officeDocument/2006/relationships/hyperlink" Target="https://api.qrserver.com/v1/create-qr-code/?data=%7b%22c%22:%22hg%22,%22id%22:%22123%22,%22t%22:%22Edgeband%22%7d" TargetMode="External"/><Relationship Id="rId27" Type="http://schemas.openxmlformats.org/officeDocument/2006/relationships/image" Target="../media/image6.png"/><Relationship Id="rId30" Type="http://schemas.openxmlformats.org/officeDocument/2006/relationships/image" Target="../media/image7.png"/><Relationship Id="rId35" Type="http://schemas.openxmlformats.org/officeDocument/2006/relationships/hyperlink" Target="https://intellisettingscdn.homag.cloud/62b8fee0-1b35-41c1-b03a-b947304a0d58/materials/11db344e-6313-4fef-9bdc-9258a3b06864/Picture/ThumbnailSquare.png?sv=2024-08-04&amp;se=2024-12-24T00%3A00%3A00Z&amp;sr=c&amp;sp=r&amp;sig=VNpheyyzCTGTEInDY%2BrCKEdNStQg0lAHx9mJF4CHJqU%3D" TargetMode="External"/><Relationship Id="rId43" Type="http://schemas.openxmlformats.org/officeDocument/2006/relationships/hyperlink" Target="https://api.qrserver.com/v1/create-qr-code/?data=%7b%22c%22:%22hg%22,%22id%22:%22145%22,%22t%22:%22Edgeband%22%7d" TargetMode="External"/><Relationship Id="rId48" Type="http://schemas.openxmlformats.org/officeDocument/2006/relationships/image" Target="../media/image10.png"/><Relationship Id="rId56" Type="http://schemas.openxmlformats.org/officeDocument/2006/relationships/hyperlink" Target="https://api.qrserver.com/v1/create-qr-code/?data=%7b%22c%22:%22hg%22,%22id%22:%22163%22,%22t%22:%22Edgeband%22%7d" TargetMode="External"/><Relationship Id="rId64" Type="http://schemas.openxmlformats.org/officeDocument/2006/relationships/hyperlink" Target="https://api.qrserver.com/v1/create-qr-code/?data=%7b%22c%22:%22hg%22,%22id%22:%22171%22,%22t%22:%22Edgeband%22%7d" TargetMode="External"/><Relationship Id="rId69" Type="http://schemas.openxmlformats.org/officeDocument/2006/relationships/hyperlink" Target="https://api.qrserver.com/v1/create-qr-code/?data=%7b%22c%22:%22hg%22,%22id%22:%22176%22,%22t%22:%22Edgeband%22%7d" TargetMode="External"/><Relationship Id="rId77" Type="http://schemas.openxmlformats.org/officeDocument/2006/relationships/hyperlink" Target="https://api.qrserver.com/v1/create-qr-code/?data=%7b%22c%22:%22hg%22,%22id%22:%22184%22,%22t%22:%22Edgeband%22%7d" TargetMode="External"/><Relationship Id="rId100" Type="http://schemas.openxmlformats.org/officeDocument/2006/relationships/image" Target="../media/image16.png"/><Relationship Id="rId8" Type="http://schemas.openxmlformats.org/officeDocument/2006/relationships/hyperlink" Target="https://api.qrserver.com/v1/create-qr-code/?data=%7b%22c%22:%22hg%22,%22id%22:%22110%22,%22t%22:%22Edgeband%22%7d" TargetMode="External"/><Relationship Id="rId51" Type="http://schemas.openxmlformats.org/officeDocument/2006/relationships/image" Target="../media/image11.png"/><Relationship Id="rId72" Type="http://schemas.openxmlformats.org/officeDocument/2006/relationships/hyperlink" Target="https://intellisettingscdn.homag.cloud/62b8fee0-1b35-41c1-b03a-b947304a0d58/materials/72b39c3d-457b-4bac-84ab-6dc8e7e30fbf/Picture/ThumbnailSquare.png?sv=2024-08-04&amp;se=2024-12-24T00%3A00%3A00Z&amp;sr=c&amp;sp=r&amp;sig=VNpheyyzCTGTEInDY%2BrCKEdNStQg0lAHx9mJF4CHJqU%3D" TargetMode="External"/><Relationship Id="rId80" Type="http://schemas.openxmlformats.org/officeDocument/2006/relationships/hyperlink" Target="https://api.qrserver.com/v1/create-qr-code/?data=%7b%22c%22:%22hg%22,%22id%22:%22187%22,%22t%22:%22Edgeband%22%7d" TargetMode="External"/><Relationship Id="rId85" Type="http://schemas.openxmlformats.org/officeDocument/2006/relationships/hyperlink" Target="https://api.qrserver.com/v1/create-qr-code/?data=%7b%22c%22:%22hg%22,%22id%22:%22192%22,%22t%22:%22Edgeband%22%7d" TargetMode="External"/><Relationship Id="rId93" Type="http://schemas.openxmlformats.org/officeDocument/2006/relationships/hyperlink" Target="https://intellisettingscdn.homag.cloud/62b8fee0-1b35-41c1-b03a-b947304a0d58/materials/2c90e3ba-c6e2-41c5-995b-e5193ec79d18/Picture/ThumbnailSquare.png?sv=2024-08-04&amp;se=2024-12-24T00%3A00%3A00Z&amp;sr=c&amp;sp=r&amp;sig=VNpheyyzCTGTEInDY%2BrCKEdNStQg0lAHx9mJF4CHJqU%3D" TargetMode="External"/><Relationship Id="rId98" Type="http://schemas.openxmlformats.org/officeDocument/2006/relationships/hyperlink" Target="https://api.qrserver.com/v1/create-qr-code/?data=%7b%22c%22:%22hg%22,%22id%22:%2298%22,%22t%22:%22Edgeband%22%7d" TargetMode="External"/><Relationship Id="rId3" Type="http://schemas.openxmlformats.org/officeDocument/2006/relationships/image" Target="../media/image1.png"/><Relationship Id="rId12" Type="http://schemas.openxmlformats.org/officeDocument/2006/relationships/hyperlink" Target="https://intellisettingscdn.homag.cloud/62b8fee0-1b35-41c1-b03a-b947304a0d58/materials/6022b160-247d-4a1a-9f30-5e29a1e614a2/Picture/ThumbnailSquare.png?sv=2024-08-04&amp;se=2024-12-24T00%3A00%3A00Z&amp;sr=c&amp;sp=r&amp;sig=VNpheyyzCTGTEInDY%2BrCKEdNStQg0lAHx9mJF4CHJqU%3D" TargetMode="External"/><Relationship Id="rId17" Type="http://schemas.openxmlformats.org/officeDocument/2006/relationships/image" Target="../media/image4.png"/><Relationship Id="rId25" Type="http://schemas.openxmlformats.org/officeDocument/2006/relationships/hyperlink" Target="https://api.qrserver.com/v1/create-qr-code/?data=%7b%22c%22:%22hg%22,%22id%22:%22124%22,%22t%22:%22Edgeband%22%7d" TargetMode="External"/><Relationship Id="rId33" Type="http://schemas.openxmlformats.org/officeDocument/2006/relationships/image" Target="../media/image8.png"/><Relationship Id="rId38" Type="http://schemas.openxmlformats.org/officeDocument/2006/relationships/hyperlink" Target="https://api.qrserver.com/v1/create-qr-code/?data=%7b%22c%22:%22hg%22,%22id%22:%22140%22,%22t%22:%22Edgeband%22%7d" TargetMode="External"/><Relationship Id="rId46" Type="http://schemas.openxmlformats.org/officeDocument/2006/relationships/hyperlink" Target="https://api.qrserver.com/v1/create-qr-code/?data=%7b%22c%22:%22hg%22,%22id%22:%22158%22,%22t%22:%22Edgeband%22%7d" TargetMode="External"/><Relationship Id="rId59" Type="http://schemas.openxmlformats.org/officeDocument/2006/relationships/hyperlink" Target="https://api.qrserver.com/v1/create-qr-code/?data=%7b%22c%22:%22hg%22,%22id%22:%22166%22,%22t%22:%22Edgeband%22%7d" TargetMode="External"/><Relationship Id="rId67" Type="http://schemas.openxmlformats.org/officeDocument/2006/relationships/hyperlink" Target="https://api.qrserver.com/v1/create-qr-code/?data=%7b%22c%22:%22hg%22,%22id%22:%22174%22,%22t%22:%22Edgeband%22%7d" TargetMode="External"/><Relationship Id="rId20" Type="http://schemas.openxmlformats.org/officeDocument/2006/relationships/hyperlink" Target="https://api.qrserver.com/v1/create-qr-code/?data=%7b%22c%22:%22hg%22,%22id%22:%22121%22,%22t%22:%22Edgeband%22%7d" TargetMode="External"/><Relationship Id="rId41" Type="http://schemas.openxmlformats.org/officeDocument/2006/relationships/hyperlink" Target="https://api.qrserver.com/v1/create-qr-code/?data=%7b%22c%22:%22hg%22,%22id%22:%22143%22,%22t%22:%22Edgeband%22%7d" TargetMode="External"/><Relationship Id="rId54" Type="http://schemas.openxmlformats.org/officeDocument/2006/relationships/hyperlink" Target="https://api.qrserver.com/v1/create-qr-code/?data=%7b%22c%22:%22hg%22,%22id%22:%221617%22,%22t%22:%22Edgeband%22%7d" TargetMode="External"/><Relationship Id="rId62" Type="http://schemas.openxmlformats.org/officeDocument/2006/relationships/hyperlink" Target="https://api.qrserver.com/v1/create-qr-code/?data=%7b%22c%22:%22hg%22,%22id%22:%22169%22,%22t%22:%22Edgeband%22%7d" TargetMode="External"/><Relationship Id="rId70" Type="http://schemas.openxmlformats.org/officeDocument/2006/relationships/hyperlink" Target="https://api.qrserver.com/v1/create-qr-code/?data=%7b%22c%22:%22hg%22,%22id%22:%22177%22,%22t%22:%22Edgeband%22%7d" TargetMode="External"/><Relationship Id="rId75" Type="http://schemas.openxmlformats.org/officeDocument/2006/relationships/hyperlink" Target="https://intellisettingscdn.homag.cloud/62b8fee0-1b35-41c1-b03a-b947304a0d58/materials/179d4b9f-0e73-40f6-81f5-973f262c5760/Picture/ThumbnailSquare.png?sv=2024-08-04&amp;se=2024-12-24T00%3A00%3A00Z&amp;sr=c&amp;sp=r&amp;sig=VNpheyyzCTGTEInDY%2BrCKEdNStQg0lAHx9mJF4CHJqU%3D" TargetMode="External"/><Relationship Id="rId83" Type="http://schemas.openxmlformats.org/officeDocument/2006/relationships/hyperlink" Target="https://api.qrserver.com/v1/create-qr-code/?data=%7b%22c%22:%22hg%22,%22id%22:%22190%22,%22t%22:%22Edgeband%22%7d" TargetMode="External"/><Relationship Id="rId88" Type="http://schemas.openxmlformats.org/officeDocument/2006/relationships/hyperlink" Target="https://api.qrserver.com/v1/create-qr-code/?data=%7b%22c%22:%22hg%22,%22id%22:%2290%22,%22t%22:%22Edgeband%22%7d" TargetMode="External"/><Relationship Id="rId91" Type="http://schemas.openxmlformats.org/officeDocument/2006/relationships/image" Target="../media/image14.png"/><Relationship Id="rId96" Type="http://schemas.openxmlformats.org/officeDocument/2006/relationships/hyperlink" Target="https://api.qrserver.com/v1/create-qr-code/?data=%7b%22c%22:%22hg%22,%22id%22:%2295%22,%22t%22:%22Edgeband%22%7d" TargetMode="External"/><Relationship Id="rId1" Type="http://schemas.openxmlformats.org/officeDocument/2006/relationships/hyperlink" Target="https://api.qrserver.com/v1/create-qr-code/?data=%7b%22c%22:%22hg%22,%22id%22:%22107%22,%22t%22:%22Edgeband%22%7d" TargetMode="External"/><Relationship Id="rId6" Type="http://schemas.openxmlformats.org/officeDocument/2006/relationships/hyperlink" Target="https://intellisettingscdn.homag.cloud/62b8fee0-1b35-41c1-b03a-b947304a0d58/materials/6526bf0d-df89-472f-8db6-510999c49bb4/Picture/ThumbnailSquare.png?sv=2024-08-04&amp;se=2024-12-24T00%3A00%3A00Z&amp;sr=c&amp;sp=r&amp;sig=VNpheyyzCTGTEInDY%2BrCKEdNStQg0lAHx9mJF4CHJqU%3D" TargetMode="External"/><Relationship Id="rId15" Type="http://schemas.openxmlformats.org/officeDocument/2006/relationships/hyperlink" Target="https://api.qrserver.com/v1/create-qr-code/?data=%7b%22c%22:%22hg%22,%22id%22:%22118%22,%22t%22:%22Edgeband%22%7d" TargetMode="External"/><Relationship Id="rId23" Type="http://schemas.openxmlformats.org/officeDocument/2006/relationships/hyperlink" Target="https://intellisettingscdn.homag.cloud/62b8fee0-1b35-41c1-b03a-b947304a0d58/materials/3ddb9151-fa2a-42c1-a90e-829a2f8b2ba8/Picture/ThumbnailSquare.png?sv=2024-08-04&amp;se=2024-12-24T00%3A00%3A00Z&amp;sr=c&amp;sp=r&amp;sig=VNpheyyzCTGTEInDY%2BrCKEdNStQg0lAHx9mJF4CHJqU%3D" TargetMode="External"/><Relationship Id="rId28" Type="http://schemas.openxmlformats.org/officeDocument/2006/relationships/hyperlink" Target="https://api.qrserver.com/v1/create-qr-code/?data=%7b%22c%22:%22hg%22,%22id%22:%22126%22,%22t%22:%22Edgeband%22%7d" TargetMode="External"/><Relationship Id="rId36" Type="http://schemas.openxmlformats.org/officeDocument/2006/relationships/image" Target="../media/image9.png"/><Relationship Id="rId49" Type="http://schemas.openxmlformats.org/officeDocument/2006/relationships/hyperlink" Target="https://api.qrserver.com/v1/create-qr-code/?data=%7b%22c%22:%22hg%22,%22id%22:%22159%22,%22t%22:%22Edgeband%22%7d" TargetMode="External"/><Relationship Id="rId57" Type="http://schemas.openxmlformats.org/officeDocument/2006/relationships/hyperlink" Target="https://api.qrserver.com/v1/create-qr-code/?data=%7b%22c%22:%22hg%22,%22id%22:%22164%22,%22t%22:%22Edgeband%22%7d" TargetMode="External"/><Relationship Id="rId10" Type="http://schemas.openxmlformats.org/officeDocument/2006/relationships/hyperlink" Target="https://api.qrserver.com/v1/create-qr-code/?data=%7b%22c%22:%22hg%22,%22id%22:%22113%22,%22t%22:%22Edgeband%22%7d" TargetMode="External"/><Relationship Id="rId31" Type="http://schemas.openxmlformats.org/officeDocument/2006/relationships/hyperlink" Target="https://api.qrserver.com/v1/create-qr-code/?data=%7b%22c%22:%22hg%22,%22id%22:%22127%22,%22t%22:%22Edgeband%22%7d" TargetMode="External"/><Relationship Id="rId44" Type="http://schemas.openxmlformats.org/officeDocument/2006/relationships/hyperlink" Target="https://api.qrserver.com/v1/create-qr-code/?data=%7b%22c%22:%22hg%22,%22id%22:%22146%22,%22t%22:%22Edgeband%22%7d" TargetMode="External"/><Relationship Id="rId52" Type="http://schemas.openxmlformats.org/officeDocument/2006/relationships/hyperlink" Target="https://api.qrserver.com/v1/create-qr-code/?data=%7b%22c%22:%22hg%22,%22id%22:%22160%22,%22t%22:%22Edgeband%22%7d" TargetMode="External"/><Relationship Id="rId60" Type="http://schemas.openxmlformats.org/officeDocument/2006/relationships/hyperlink" Target="https://api.qrserver.com/v1/create-qr-code/?data=%7b%22c%22:%22hg%22,%22id%22:%22167%22,%22t%22:%22Edgeband%22%7d" TargetMode="External"/><Relationship Id="rId65" Type="http://schemas.openxmlformats.org/officeDocument/2006/relationships/hyperlink" Target="https://api.qrserver.com/v1/create-qr-code/?data=%7b%22c%22:%22hg%22,%22id%22:%22172%22,%22t%22:%22Edgeband%22%7d" TargetMode="External"/><Relationship Id="rId73" Type="http://schemas.openxmlformats.org/officeDocument/2006/relationships/image" Target="../media/image12.png"/><Relationship Id="rId78" Type="http://schemas.openxmlformats.org/officeDocument/2006/relationships/hyperlink" Target="https://api.qrserver.com/v1/create-qr-code/?data=%7b%22c%22:%22hg%22,%22id%22:%22185%22,%22t%22:%22Edgeband%22%7d" TargetMode="External"/><Relationship Id="rId81" Type="http://schemas.openxmlformats.org/officeDocument/2006/relationships/hyperlink" Target="https://api.qrserver.com/v1/create-qr-code/?data=%7b%22c%22:%22hg%22,%22id%22:%22188%22,%22t%22:%22Edgeband%22%7d" TargetMode="External"/><Relationship Id="rId86" Type="http://schemas.openxmlformats.org/officeDocument/2006/relationships/hyperlink" Target="https://api.qrserver.com/v1/create-qr-code/?data=%7b%22c%22:%22hg%22,%22id%22:%22193%22,%22t%22:%22Edgeband%22%7d" TargetMode="External"/><Relationship Id="rId94" Type="http://schemas.openxmlformats.org/officeDocument/2006/relationships/image" Target="../media/image15.png"/><Relationship Id="rId99" Type="http://schemas.openxmlformats.org/officeDocument/2006/relationships/hyperlink" Target="https://intellisettingscdn.homag.cloud/62b8fee0-1b35-41c1-b03a-b947304a0d58/materials/c9ac9d69-aca6-4f9b-ae22-fbdaeaed4381/Picture/ThumbnailSquare.png?sv=2024-08-04&amp;se=2024-12-24T00%3A00%3A00Z&amp;sr=c&amp;sp=r&amp;sig=VNpheyyzCTGTEInDY%2BrCKEdNStQg0lAHx9mJF4CHJqU%3D" TargetMode="External"/><Relationship Id="rId101" Type="http://schemas.openxmlformats.org/officeDocument/2006/relationships/hyperlink" Target="https://api.qrserver.com/v1/create-qr-code/?data=%7b%22c%22:%22hg%22,%22id%22:%22999.999.999.999%22,%22t%22:%22Edgeband%22%7d" TargetMode="External"/><Relationship Id="rId4" Type="http://schemas.openxmlformats.org/officeDocument/2006/relationships/hyperlink" Target="https://api.qrserver.com/v1/create-qr-code/?data=%7b%22c%22:%22hg%22,%22id%22:%22108%22,%22t%22:%22Edgeband%22%7d" TargetMode="External"/><Relationship Id="rId9" Type="http://schemas.openxmlformats.org/officeDocument/2006/relationships/hyperlink" Target="https://api.qrserver.com/v1/create-qr-code/?data=%7b%22c%22:%22hg%22,%22id%22:%22111%22,%22t%22:%22Edgeband%22%7d" TargetMode="External"/><Relationship Id="rId13" Type="http://schemas.openxmlformats.org/officeDocument/2006/relationships/image" Target="../media/image3.png"/><Relationship Id="rId18" Type="http://schemas.openxmlformats.org/officeDocument/2006/relationships/hyperlink" Target="https://api.qrserver.com/v1/create-qr-code/?data=%7b%22c%22:%22hg%22,%22id%22:%22119%22,%22t%22:%22Edgeband%22%7d" TargetMode="External"/><Relationship Id="rId39" Type="http://schemas.openxmlformats.org/officeDocument/2006/relationships/hyperlink" Target="https://api.qrserver.com/v1/create-qr-code/?data=%7b%22c%22:%22hg%22,%22id%22:%22141%22,%22t%22:%22Edgeband%22%7d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</webImageSrd>
  <webImageSrd>
    <address r:id="rId5"/>
  </webImageSrd>
  <webImageSrd>
    <address r:id="rId6"/>
    <blip r:id="rId7"/>
  </webImageSrd>
  <webImageSrd>
    <address r:id="rId8"/>
  </webImageSrd>
  <webImageSrd>
    <address r:id="rId9"/>
  </webImageSrd>
  <webImageSrd>
    <address r:id="rId10"/>
  </webImageSrd>
  <webImageSrd>
    <address r:id="rId11"/>
  </webImageSrd>
  <webImageSrd>
    <address r:id="rId12"/>
    <blip r:id="rId13"/>
  </webImageSrd>
  <webImageSrd>
    <address r:id="rId14"/>
  </webImageSrd>
  <webImageSrd>
    <address r:id="rId15"/>
  </webImageSrd>
  <webImageSrd>
    <address r:id="rId16"/>
    <blip r:id="rId17"/>
  </webImageSrd>
  <webImageSrd>
    <address r:id="rId18"/>
  </webImageSrd>
  <webImageSrd>
    <address r:id="rId19"/>
  </webImageSrd>
  <webImageSrd>
    <address r:id="rId20"/>
  </webImageSrd>
  <webImageSrd>
    <address r:id="rId21"/>
  </webImageSrd>
  <webImageSrd>
    <address r:id="rId22"/>
  </webImageSrd>
  <webImageSrd>
    <address r:id="rId23"/>
    <blip r:id="rId24"/>
  </webImageSrd>
  <webImageSrd>
    <address r:id="rId25"/>
  </webImageSrd>
  <webImageSrd>
    <address r:id="rId26"/>
    <blip r:id="rId27"/>
  </webImageSrd>
  <webImageSrd>
    <address r:id="rId28"/>
  </webImageSrd>
  <webImageSrd>
    <address r:id="rId29"/>
    <blip r:id="rId30"/>
  </webImageSrd>
  <webImageSrd>
    <address r:id="rId31"/>
  </webImageSrd>
  <webImageSrd>
    <address r:id="rId32"/>
    <blip r:id="rId33"/>
  </webImageSrd>
  <webImageSrd>
    <address r:id="rId34"/>
  </webImageSrd>
  <webImageSrd>
    <address r:id="rId35"/>
    <blip r:id="rId36"/>
  </webImageSrd>
  <webImageSrd>
    <address r:id="rId37"/>
  </webImageSrd>
  <webImageSrd>
    <address r:id="rId38"/>
  </webImageSrd>
  <webImageSrd>
    <address r:id="rId39"/>
  </webImageSrd>
  <webImageSrd>
    <address r:id="rId40"/>
  </webImageSrd>
  <webImageSrd>
    <address r:id="rId41"/>
  </webImageSrd>
  <webImageSrd>
    <address r:id="rId42"/>
  </webImageSrd>
  <webImageSrd>
    <address r:id="rId43"/>
  </webImageSrd>
  <webImageSrd>
    <address r:id="rId44"/>
  </webImageSrd>
  <webImageSrd>
    <address r:id="rId45"/>
  </webImageSrd>
  <webImageSrd>
    <address r:id="rId46"/>
  </webImageSrd>
  <webImageSrd>
    <address r:id="rId47"/>
    <blip r:id="rId48"/>
  </webImageSrd>
  <webImageSrd>
    <address r:id="rId49"/>
  </webImageSrd>
  <webImageSrd>
    <address r:id="rId50"/>
    <blip r:id="rId51"/>
  </webImageSrd>
  <webImageSrd>
    <address r:id="rId52"/>
  </webImageSrd>
  <webImageSrd>
    <address r:id="rId53"/>
  </webImageSrd>
  <webImageSrd>
    <address r:id="rId54"/>
  </webImageSrd>
  <webImageSrd>
    <address r:id="rId55"/>
  </webImageSrd>
  <webImageSrd>
    <address r:id="rId56"/>
  </webImageSrd>
  <webImageSrd>
    <address r:id="rId57"/>
  </webImageSrd>
  <webImageSrd>
    <address r:id="rId58"/>
  </webImageSrd>
  <webImageSrd>
    <address r:id="rId59"/>
  </webImageSrd>
  <webImageSrd>
    <address r:id="rId60"/>
  </webImageSrd>
  <webImageSrd>
    <address r:id="rId61"/>
  </webImageSrd>
  <webImageSrd>
    <address r:id="rId62"/>
  </webImageSrd>
  <webImageSrd>
    <address r:id="rId63"/>
  </webImageSrd>
  <webImageSrd>
    <address r:id="rId64"/>
  </webImageSrd>
  <webImageSrd>
    <address r:id="rId65"/>
  </webImageSrd>
  <webImageSrd>
    <address r:id="rId66"/>
  </webImageSrd>
  <webImageSrd>
    <address r:id="rId67"/>
  </webImageSrd>
  <webImageSrd>
    <address r:id="rId68"/>
  </webImageSrd>
  <webImageSrd>
    <address r:id="rId69"/>
  </webImageSrd>
  <webImageSrd>
    <address r:id="rId70"/>
  </webImageSrd>
  <webImageSrd>
    <address r:id="rId71"/>
  </webImageSrd>
  <webImageSrd>
    <address r:id="rId72"/>
    <blip r:id="rId73"/>
  </webImageSrd>
  <webImageSrd>
    <address r:id="rId74"/>
  </webImageSrd>
  <webImageSrd>
    <address r:id="rId75"/>
    <blip r:id="rId76"/>
  </webImageSrd>
  <webImageSrd>
    <address r:id="rId77"/>
  </webImageSrd>
  <webImageSrd>
    <address r:id="rId78"/>
  </webImageSrd>
  <webImageSrd>
    <address r:id="rId79"/>
  </webImageSrd>
  <webImageSrd>
    <address r:id="rId80"/>
  </webImageSrd>
  <webImageSrd>
    <address r:id="rId81"/>
  </webImageSrd>
  <webImageSrd>
    <address r:id="rId82"/>
  </webImageSrd>
  <webImageSrd>
    <address r:id="rId83"/>
  </webImageSrd>
  <webImageSrd>
    <address r:id="rId84"/>
  </webImageSrd>
  <webImageSrd>
    <address r:id="rId85"/>
  </webImageSrd>
  <webImageSrd>
    <address r:id="rId86"/>
  </webImageSrd>
  <webImageSrd>
    <address r:id="rId87"/>
  </webImageSrd>
  <webImageSrd>
    <address r:id="rId88"/>
  </webImageSrd>
  <webImageSrd>
    <address r:id="rId89"/>
  </webImageSrd>
  <webImageSrd>
    <address r:id="rId90"/>
    <blip r:id="rId91"/>
  </webImageSrd>
  <webImageSrd>
    <address r:id="rId92"/>
  </webImageSrd>
  <webImageSrd>
    <address r:id="rId93"/>
    <blip r:id="rId94"/>
  </webImageSrd>
  <webImageSrd>
    <address r:id="rId95"/>
  </webImageSrd>
  <webImageSrd>
    <address r:id="rId96"/>
  </webImageSrd>
  <webImageSrd>
    <address r:id="rId97"/>
  </webImageSrd>
  <webImageSrd>
    <address r:id="rId98"/>
  </webImageSrd>
  <webImageSrd>
    <address r:id="rId99"/>
    <blip r:id="rId100"/>
  </webImageSrd>
  <webImageSrd>
    <address r:id="rId101"/>
  </webImageSrd>
</webImagesSrd>
</file>

<file path=xl/richData/rdrichvalue.xml><?xml version="1.0" encoding="utf-8"?>
<rvData xmlns="http://schemas.microsoft.com/office/spreadsheetml/2017/richdata" count="85">
  <rv s="0">
    <v>-1</v>
    <v>1</v>
    <v>0</v>
    <v>100</v>
    <v>3</v>
    <v>100</v>
  </rv>
  <rv s="0">
    <v>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4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9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12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18</v>
    <v>1</v>
    <v>0</v>
    <v>100</v>
    <v>3</v>
    <v>100</v>
  </rv>
  <rv s="0">
    <v>-1</v>
    <v>1</v>
    <v>0</v>
    <v>100</v>
    <v>3</v>
    <v>100</v>
  </rv>
  <rv s="0">
    <v>20</v>
    <v>1</v>
    <v>0</v>
    <v>100</v>
    <v>3</v>
    <v>100</v>
  </rv>
  <rv s="0">
    <v>-1</v>
    <v>1</v>
    <v>0</v>
    <v>100</v>
    <v>3</v>
    <v>100</v>
  </rv>
  <rv s="0">
    <v>22</v>
    <v>1</v>
    <v>0</v>
    <v>100</v>
    <v>3</v>
    <v>100</v>
  </rv>
  <rv s="0">
    <v>-1</v>
    <v>1</v>
    <v>0</v>
    <v>100</v>
    <v>3</v>
    <v>100</v>
  </rv>
  <rv s="0">
    <v>24</v>
    <v>1</v>
    <v>0</v>
    <v>100</v>
    <v>3</v>
    <v>100</v>
  </rv>
  <rv s="0">
    <v>-1</v>
    <v>1</v>
    <v>0</v>
    <v>100</v>
    <v>3</v>
    <v>100</v>
  </rv>
  <rv s="0">
    <v>26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37</v>
    <v>1</v>
    <v>0</v>
    <v>100</v>
    <v>3</v>
    <v>100</v>
  </rv>
  <rv s="0">
    <v>-1</v>
    <v>1</v>
    <v>0</v>
    <v>100</v>
    <v>3</v>
    <v>100</v>
  </rv>
  <rv s="0">
    <v>39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60</v>
    <v>1</v>
    <v>0</v>
    <v>100</v>
    <v>3</v>
    <v>100</v>
  </rv>
  <rv s="0">
    <v>-1</v>
    <v>1</v>
    <v>0</v>
    <v>100</v>
    <v>3</v>
    <v>100</v>
  </rv>
  <rv s="0">
    <v>62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76</v>
    <v>1</v>
    <v>0</v>
    <v>100</v>
    <v>3</v>
    <v>100</v>
  </rv>
  <rv s="0">
    <v>-1</v>
    <v>1</v>
    <v>0</v>
    <v>100</v>
    <v>3</v>
    <v>100</v>
  </rv>
  <rv s="0">
    <v>78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83</v>
    <v>1</v>
    <v>0</v>
    <v>100</v>
    <v>3</v>
    <v>100</v>
  </rv>
  <rv s="0">
    <v>-1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70" tableType="queryTable" totalsRowShown="0" headerRowDxfId="20" dataDxfId="19">
  <autoFilter ref="A1:S70" xr:uid="{13F56BAC-8DD8-472F-9DC7-24C60FD18CD8}"/>
  <tableColumns count="19">
    <tableColumn id="2" xr3:uid="{069CC405-D913-4216-A405-D12B04DB6220}" uniqueName="2" name="Thumbnail" queryTableFieldId="2" dataDxfId="18"/>
    <tableColumn id="3" xr3:uid="{4D13408D-BB57-4BD6-872C-FBFBD5C7CE6B}" uniqueName="3" name="Id" queryTableFieldId="3" dataDxfId="17"/>
    <tableColumn id="17" xr3:uid="{31BB9EB5-A3EF-4860-BE20-359F44AF037F}" uniqueName="17" name="QRCode" queryTableFieldId="20" dataDxfId="16">
      <calculatedColumnFormula>IF(Edgebands[[#This Row],[QR-Code]]&lt;&gt;"",_xlfn.IMAGE(Edgebands[[#This Row],[QR-Code]],"",3,100,100),"")</calculatedColumnFormula>
    </tableColumn>
    <tableColumn id="1" xr3:uid="{EDA1A086-4F73-43D3-99AF-57DE4D4983DC}" uniqueName="1" name="Preview" queryTableFieldId="18" dataDxfId="15">
      <calculatedColumnFormula>IF(Edgebands[[#This Row],[Thumbnail]]&lt;&gt;"",_xlfn.IMAGE(Edgebands[[#This Row],[Thumbnail]],"",3,100,100),"")</calculatedColumnFormula>
    </tableColumn>
    <tableColumn id="5" xr3:uid="{B24F65AD-81A2-4F5F-B2F5-23B9C1E67DF6}" uniqueName="5" name="Edgeband code" queryTableFieldId="5" dataDxfId="14"/>
    <tableColumn id="4" xr3:uid="{DCDB6065-5AA2-4D65-8429-E3FAC7E7C318}" uniqueName="4" name="Material category" queryTableFieldId="4" dataDxfId="13"/>
    <tableColumn id="6" xr3:uid="{067541D4-C373-46B0-8F5C-C04864283DED}" uniqueName="6" name="Length" queryTableFieldId="6" dataDxfId="12"/>
    <tableColumn id="7" xr3:uid="{64FC45E9-42D7-4323-A48A-AA81794FACEB}" uniqueName="7" name="Height" queryTableFieldId="7" dataDxfId="11"/>
    <tableColumn id="20" xr3:uid="{C68325A4-91C4-4F55-957E-2703C56F59A3}" uniqueName="20" name="Costs / m" queryTableFieldId="23" dataDxfId="10"/>
    <tableColumn id="10" xr3:uid="{AD6C3C36-BAAF-4DE1-ABF7-E355388E673C}" uniqueName="10" name="Quantity" queryTableFieldId="10" dataDxfId="9"/>
    <tableColumn id="9" xr3:uid="{6B198FD5-A790-4B4C-B757-C16303CB2226}" uniqueName="9" name="Total length" queryTableFieldId="9" dataDxfId="8"/>
    <tableColumn id="11" xr3:uid="{1BAD892F-BFD3-424F-824C-DBFA2D7C3443}" uniqueName="11" name="Management type" queryTableFieldId="11" dataDxfId="7"/>
    <tableColumn id="12" xr3:uid="{D74FE68F-5076-4D6C-95C9-9EFDD1C2A5E3}" uniqueName="12" name="Creation date" queryTableFieldId="12" dataDxfId="6"/>
    <tableColumn id="23" xr3:uid="{BB1BA370-D6F6-455F-B467-5AB904F3CBCC}" uniqueName="23" name="Value / Coil" queryTableFieldId="28" dataDxfId="0">
      <calculatedColumnFormula>Edgebands[[#This Row],[Length]]*Edgebands[[#This Row],[Costs / m]]</calculatedColumnFormula>
    </tableColumn>
    <tableColumn id="18" xr3:uid="{55F5FD47-CB06-4CF3-8EE5-458EA7314137}" uniqueName="18" name="Age (Month)" queryTableFieldId="21" dataDxfId="5">
      <calculatedColumnFormula>DATEDIF(Edgebands[[#This Row],[Creation date]],TODAY(),"M")</calculatedColumnFormula>
    </tableColumn>
    <tableColumn id="8" xr3:uid="{62010195-5B4F-4538-A929-E295B2588553}" uniqueName="8" name="Edgebandtype last used" queryTableFieldId="29" dataDxfId="4"/>
    <tableColumn id="15" xr3:uid="{F3B7864A-FCD0-4C95-AA22-A3CCC39D028C}" uniqueName="15" name="Storage location" queryTableFieldId="15" dataDxfId="3"/>
    <tableColumn id="21" xr3:uid="{589E78DE-6ACC-431B-890A-75356A26118C}" uniqueName="21" name="Notes" queryTableFieldId="24" dataDxfId="2"/>
    <tableColumn id="16" xr3:uid="{232640E8-94DC-4598-A49B-C452265D22E3}" uniqueName="16" name="QR-Code" queryTableFieldId="16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AA70"/>
  <sheetViews>
    <sheetView tabSelected="1" topLeftCell="B1" zoomScaleNormal="100" workbookViewId="0">
      <selection activeCell="N3" sqref="N3"/>
    </sheetView>
  </sheetViews>
  <sheetFormatPr baseColWidth="10" defaultColWidth="8.88671875" defaultRowHeight="14.4" x14ac:dyDescent="0.3"/>
  <cols>
    <col min="1" max="1" width="17.77734375" style="1" hidden="1" customWidth="1"/>
    <col min="2" max="2" width="4.88671875" style="1" bestFit="1" customWidth="1"/>
    <col min="3" max="3" width="18.21875" style="1" customWidth="1"/>
    <col min="4" max="4" width="14.6640625" style="6" customWidth="1"/>
    <col min="5" max="5" width="8.44140625" customWidth="1"/>
    <col min="6" max="6" width="27.77734375" customWidth="1"/>
    <col min="7" max="7" width="9.77734375" style="1" customWidth="1"/>
    <col min="8" max="8" width="9" style="1" hidden="1" customWidth="1"/>
    <col min="9" max="9" width="11.109375" style="5" bestFit="1" customWidth="1"/>
    <col min="10" max="10" width="9.21875" style="1" customWidth="1"/>
    <col min="11" max="11" width="11.109375" style="1" customWidth="1"/>
    <col min="12" max="12" width="14.5546875" bestFit="1" customWidth="1"/>
    <col min="13" max="13" width="23.44140625" style="1" bestFit="1" customWidth="1"/>
    <col min="14" max="14" width="14.21875" bestFit="1" customWidth="1"/>
    <col min="15" max="15" width="14.5546875" style="5" bestFit="1" customWidth="1"/>
    <col min="16" max="16" width="16.5546875" style="1" customWidth="1"/>
    <col min="17" max="17" width="36.6640625" style="3" bestFit="1" customWidth="1"/>
    <col min="19" max="19" width="0" hidden="1" customWidth="1"/>
    <col min="20" max="20" width="14.33203125" style="1" hidden="1" customWidth="1"/>
    <col min="21" max="21" width="22.33203125" bestFit="1" customWidth="1"/>
    <col min="22" max="22" width="20" style="4" bestFit="1" customWidth="1"/>
    <col min="23" max="23" width="49.33203125" style="1" hidden="1" customWidth="1"/>
    <col min="24" max="24" width="22.33203125" style="1" customWidth="1"/>
    <col min="25" max="25" width="21.33203125" style="1" hidden="1" customWidth="1"/>
    <col min="27" max="27" width="17.33203125" style="6" customWidth="1"/>
    <col min="28" max="28" width="44.5546875" style="1" bestFit="1" customWidth="1"/>
    <col min="29" max="29" width="10.109375" style="1" bestFit="1" customWidth="1"/>
    <col min="30" max="16384" width="8.88671875" style="1"/>
  </cols>
  <sheetData>
    <row r="1" spans="1:27" x14ac:dyDescent="0.3">
      <c r="A1" s="1"/>
      <c r="B1" s="1"/>
      <c r="C1" s="6" t="s">
        <v>1</v>
      </c>
      <c r="D1" s="6" t="s">
        <v>0</v>
      </c>
      <c r="E1" s="1"/>
      <c r="F1" s="1"/>
      <c r="G1" s="1"/>
      <c r="H1" s="1"/>
      <c r="I1" s="1"/>
      <c r="J1" s="1"/>
      <c r="K1" s="1"/>
      <c r="L1" s="1"/>
      <c r="M1" s="5"/>
      <c r="N1" s="4" t="s">
        <v>3</v>
      </c>
      <c r="O1" s="3" t="s">
        <v>2</v>
      </c>
      <c r="P1" s="5"/>
      <c r="Q1" s="1"/>
      <c r="R1" s="1"/>
      <c r="S1" s="1"/>
      <c r="U1" s="1"/>
      <c r="V1" s="1"/>
      <c r="Z1" s="1"/>
      <c r="AA1" s="1"/>
    </row>
    <row r="2" spans="1:27" ht="91.8" x14ac:dyDescent="0.3">
      <c r="A2" s="2"/>
      <c r="B2" s="8"/>
      <c r="C2" s="9" t="e" vm="1">
        <f>IF(Edgebands[[#This Row],[QR-Code]]&lt;&gt;"",_xlfn.IMAGE(Edgebands[[#This Row],[QR-Code]],"",3,100,100),"")</f>
        <v>#VALUE!</v>
      </c>
      <c r="D2" s="7" t="e" vm="2">
        <f>IF(Edgebands[[#This Row],[Thumbnail]]&lt;&gt;"",_xlfn.IMAGE(Edgebands[[#This Row],[Thumbnail]],"",3,100,100),"")</f>
        <v>#VALUE!</v>
      </c>
      <c r="E2" s="8"/>
      <c r="F2" s="8"/>
      <c r="G2" s="1"/>
      <c r="H2" s="1"/>
      <c r="I2" s="4"/>
      <c r="J2" s="1"/>
      <c r="K2" s="1"/>
      <c r="L2" s="8"/>
      <c r="M2" s="5"/>
      <c r="N2" s="4">
        <f>Edgebands[[#This Row],[Length]]*Edgebands[[#This Row],[Costs / m]]</f>
        <v>0</v>
      </c>
      <c r="O2" s="11">
        <f ca="1">DATEDIF(Edgebands[[#This Row],[Creation date]],TODAY(),"M")</f>
        <v>16</v>
      </c>
      <c r="P2" s="5"/>
      <c r="Q2" s="8"/>
      <c r="R2" s="8"/>
      <c r="S2" s="8"/>
      <c r="U2" s="1"/>
      <c r="V2" s="1"/>
      <c r="Z2" s="1"/>
      <c r="AA2" s="1"/>
    </row>
    <row r="3" spans="1:27" ht="91.8" x14ac:dyDescent="0.3">
      <c r="A3" s="2"/>
      <c r="B3" s="8"/>
      <c r="C3" s="9" t="e" vm="3">
        <f>IF(Edgebands[[#This Row],[QR-Code]]&lt;&gt;"",_xlfn.IMAGE(Edgebands[[#This Row],[QR-Code]],"",3,100,100),"")</f>
        <v>#VALUE!</v>
      </c>
      <c r="D3" s="7" t="e" vm="2">
        <f>IF(Edgebands[[#This Row],[Thumbnail]]&lt;&gt;"",_xlfn.IMAGE(Edgebands[[#This Row],[Thumbnail]],"",3,100,100),"")</f>
        <v>#VALUE!</v>
      </c>
      <c r="E3" s="8"/>
      <c r="F3" s="8"/>
      <c r="G3" s="1"/>
      <c r="H3" s="1"/>
      <c r="I3" s="4"/>
      <c r="J3" s="1"/>
      <c r="K3" s="1"/>
      <c r="L3" s="8"/>
      <c r="M3" s="5"/>
      <c r="N3" s="4">
        <f>Edgebands[[#This Row],[Length]]*Edgebands[[#This Row],[Costs / m]]</f>
        <v>0</v>
      </c>
      <c r="O3" s="11">
        <f ca="1">DATEDIF(Edgebands[[#This Row],[Creation date]],TODAY(),"M")</f>
        <v>16</v>
      </c>
      <c r="P3" s="5"/>
      <c r="Q3" s="8"/>
      <c r="R3" s="8"/>
      <c r="S3" s="8"/>
      <c r="U3" s="1"/>
      <c r="V3" s="1"/>
      <c r="Z3" s="1"/>
      <c r="AA3" s="1"/>
    </row>
    <row r="4" spans="1:27" ht="91.8" x14ac:dyDescent="0.3">
      <c r="A4" s="2"/>
      <c r="B4" s="8"/>
      <c r="C4" s="9" t="e" vm="4">
        <f>IF(Edgebands[[#This Row],[QR-Code]]&lt;&gt;"",_xlfn.IMAGE(Edgebands[[#This Row],[QR-Code]],"",3,100,100),"")</f>
        <v>#VALUE!</v>
      </c>
      <c r="D4" s="7" t="e" vm="5">
        <f>IF(Edgebands[[#This Row],[Thumbnail]]&lt;&gt;"",_xlfn.IMAGE(Edgebands[[#This Row],[Thumbnail]],"",3,100,100),"")</f>
        <v>#VALUE!</v>
      </c>
      <c r="E4" s="8"/>
      <c r="F4" s="8"/>
      <c r="G4" s="1"/>
      <c r="H4" s="1"/>
      <c r="I4" s="4"/>
      <c r="J4" s="1"/>
      <c r="K4" s="1"/>
      <c r="L4" s="8"/>
      <c r="M4" s="5"/>
      <c r="N4" s="4">
        <f>Edgebands[[#This Row],[Length]]*Edgebands[[#This Row],[Costs / m]]</f>
        <v>27</v>
      </c>
      <c r="O4" s="11">
        <f ca="1">DATEDIF(Edgebands[[#This Row],[Creation date]],TODAY(),"M")</f>
        <v>15</v>
      </c>
      <c r="P4" s="5"/>
      <c r="Q4" s="8"/>
      <c r="R4" s="8"/>
      <c r="S4" s="8"/>
      <c r="U4" s="1"/>
      <c r="V4" s="1"/>
      <c r="Z4" s="1"/>
      <c r="AA4" s="1"/>
    </row>
    <row r="5" spans="1:27" ht="91.8" x14ac:dyDescent="0.3">
      <c r="A5" s="2"/>
      <c r="B5" s="8"/>
      <c r="C5" s="9" t="e" vm="6">
        <f>IF(Edgebands[[#This Row],[QR-Code]]&lt;&gt;"",_xlfn.IMAGE(Edgebands[[#This Row],[QR-Code]],"",3,100,100),"")</f>
        <v>#VALUE!</v>
      </c>
      <c r="D5" s="7" t="e" vm="5">
        <f>IF(Edgebands[[#This Row],[Thumbnail]]&lt;&gt;"",_xlfn.IMAGE(Edgebands[[#This Row],[Thumbnail]],"",3,100,100),"")</f>
        <v>#VALUE!</v>
      </c>
      <c r="E5" s="8"/>
      <c r="F5" s="8"/>
      <c r="G5" s="1"/>
      <c r="H5" s="1"/>
      <c r="I5" s="4"/>
      <c r="J5" s="1"/>
      <c r="K5" s="1"/>
      <c r="L5" s="8"/>
      <c r="M5" s="5"/>
      <c r="N5" s="4">
        <f>Edgebands[[#This Row],[Length]]*Edgebands[[#This Row],[Costs / m]]</f>
        <v>27</v>
      </c>
      <c r="O5" s="11">
        <f ca="1">DATEDIF(Edgebands[[#This Row],[Creation date]],TODAY(),"M")</f>
        <v>15</v>
      </c>
      <c r="P5" s="5"/>
      <c r="Q5" s="8"/>
      <c r="R5" s="8"/>
      <c r="S5" s="8"/>
      <c r="U5" s="1"/>
      <c r="V5" s="1"/>
      <c r="Z5" s="1"/>
      <c r="AA5" s="1"/>
    </row>
    <row r="6" spans="1:27" ht="91.8" x14ac:dyDescent="0.3">
      <c r="A6" s="2"/>
      <c r="B6" s="8"/>
      <c r="C6" s="9" t="e" vm="7">
        <f>IF(Edgebands[[#This Row],[QR-Code]]&lt;&gt;"",_xlfn.IMAGE(Edgebands[[#This Row],[QR-Code]],"",3,100,100),"")</f>
        <v>#VALUE!</v>
      </c>
      <c r="D6" s="7" t="e" vm="5">
        <f>IF(Edgebands[[#This Row],[Thumbnail]]&lt;&gt;"",_xlfn.IMAGE(Edgebands[[#This Row],[Thumbnail]],"",3,100,100),"")</f>
        <v>#VALUE!</v>
      </c>
      <c r="E6" s="8"/>
      <c r="F6" s="8"/>
      <c r="G6" s="1"/>
      <c r="H6" s="1"/>
      <c r="I6" s="4"/>
      <c r="J6" s="1"/>
      <c r="K6" s="1"/>
      <c r="L6" s="8"/>
      <c r="M6" s="5"/>
      <c r="N6" s="4">
        <f>Edgebands[[#This Row],[Length]]*Edgebands[[#This Row],[Costs / m]]</f>
        <v>27</v>
      </c>
      <c r="O6" s="11">
        <f ca="1">DATEDIF(Edgebands[[#This Row],[Creation date]],TODAY(),"M")</f>
        <v>15</v>
      </c>
      <c r="P6" s="5"/>
      <c r="Q6" s="8"/>
      <c r="R6" s="8"/>
      <c r="S6" s="8"/>
      <c r="U6" s="1"/>
      <c r="V6" s="1"/>
      <c r="Z6" s="1"/>
      <c r="AA6" s="1"/>
    </row>
    <row r="7" spans="1:27" ht="91.8" x14ac:dyDescent="0.3">
      <c r="A7" s="2"/>
      <c r="B7" s="8"/>
      <c r="C7" s="9" t="e" vm="8">
        <f>IF(Edgebands[[#This Row],[QR-Code]]&lt;&gt;"",_xlfn.IMAGE(Edgebands[[#This Row],[QR-Code]],"",3,100,100),"")</f>
        <v>#VALUE!</v>
      </c>
      <c r="D7" s="7" t="e" vm="5">
        <f>IF(Edgebands[[#This Row],[Thumbnail]]&lt;&gt;"",_xlfn.IMAGE(Edgebands[[#This Row],[Thumbnail]],"",3,100,100),"")</f>
        <v>#VALUE!</v>
      </c>
      <c r="E7" s="8"/>
      <c r="F7" s="8"/>
      <c r="G7" s="1"/>
      <c r="H7" s="1"/>
      <c r="I7" s="4"/>
      <c r="J7" s="1"/>
      <c r="K7" s="1"/>
      <c r="L7" s="8"/>
      <c r="M7" s="5"/>
      <c r="N7" s="4">
        <f>Edgebands[[#This Row],[Length]]*Edgebands[[#This Row],[Costs / m]]</f>
        <v>27</v>
      </c>
      <c r="O7" s="11">
        <f ca="1">DATEDIF(Edgebands[[#This Row],[Creation date]],TODAY(),"M")</f>
        <v>15</v>
      </c>
      <c r="P7" s="5"/>
      <c r="Q7" s="8"/>
      <c r="R7" s="8"/>
      <c r="S7" s="8"/>
      <c r="U7" s="1"/>
      <c r="V7" s="1"/>
      <c r="Z7" s="1"/>
      <c r="AA7" s="1"/>
    </row>
    <row r="8" spans="1:27" ht="91.8" x14ac:dyDescent="0.3">
      <c r="A8" s="2"/>
      <c r="B8" s="8"/>
      <c r="C8" s="9" t="e" vm="9">
        <f>IF(Edgebands[[#This Row],[QR-Code]]&lt;&gt;"",_xlfn.IMAGE(Edgebands[[#This Row],[QR-Code]],"",3,100,100),"")</f>
        <v>#VALUE!</v>
      </c>
      <c r="D8" s="7" t="e" vm="10">
        <f>IF(Edgebands[[#This Row],[Thumbnail]]&lt;&gt;"",_xlfn.IMAGE(Edgebands[[#This Row],[Thumbnail]],"",3,100,100),"")</f>
        <v>#VALUE!</v>
      </c>
      <c r="E8" s="8"/>
      <c r="F8" s="8"/>
      <c r="G8" s="1"/>
      <c r="H8" s="1"/>
      <c r="I8" s="4"/>
      <c r="J8" s="1"/>
      <c r="K8" s="1"/>
      <c r="L8" s="8"/>
      <c r="M8" s="5"/>
      <c r="N8" s="4">
        <f>Edgebands[[#This Row],[Length]]*Edgebands[[#This Row],[Costs / m]]</f>
        <v>86.399999999999991</v>
      </c>
      <c r="O8" s="11">
        <f ca="1">DATEDIF(Edgebands[[#This Row],[Creation date]],TODAY(),"M")</f>
        <v>15</v>
      </c>
      <c r="P8" s="5"/>
      <c r="Q8" s="8"/>
      <c r="R8" s="8"/>
      <c r="S8" s="8"/>
      <c r="U8" s="1"/>
      <c r="V8" s="1"/>
      <c r="Z8" s="1"/>
      <c r="AA8" s="1"/>
    </row>
    <row r="9" spans="1:27" ht="91.8" x14ac:dyDescent="0.3">
      <c r="A9" s="2"/>
      <c r="B9" s="8"/>
      <c r="C9" s="9" t="e" vm="11">
        <f>IF(Edgebands[[#This Row],[QR-Code]]&lt;&gt;"",_xlfn.IMAGE(Edgebands[[#This Row],[QR-Code]],"",3,100,100),"")</f>
        <v>#VALUE!</v>
      </c>
      <c r="D9" s="7" t="e" vm="10">
        <f>IF(Edgebands[[#This Row],[Thumbnail]]&lt;&gt;"",_xlfn.IMAGE(Edgebands[[#This Row],[Thumbnail]],"",3,100,100),"")</f>
        <v>#VALUE!</v>
      </c>
      <c r="E9" s="8"/>
      <c r="F9" s="8"/>
      <c r="G9" s="1"/>
      <c r="H9" s="1"/>
      <c r="I9" s="4"/>
      <c r="J9" s="1"/>
      <c r="K9" s="1"/>
      <c r="L9" s="8"/>
      <c r="M9" s="5"/>
      <c r="N9" s="4">
        <f>Edgebands[[#This Row],[Length]]*Edgebands[[#This Row],[Costs / m]]</f>
        <v>86.399999999999991</v>
      </c>
      <c r="O9" s="11">
        <f ca="1">DATEDIF(Edgebands[[#This Row],[Creation date]],TODAY(),"M")</f>
        <v>15</v>
      </c>
      <c r="P9" s="5"/>
      <c r="Q9" s="8"/>
      <c r="R9" s="8"/>
      <c r="S9" s="8"/>
      <c r="U9" s="1"/>
      <c r="V9" s="1"/>
      <c r="Z9" s="1"/>
      <c r="AA9" s="1"/>
    </row>
    <row r="10" spans="1:27" ht="91.8" x14ac:dyDescent="0.3">
      <c r="A10" s="2"/>
      <c r="B10" s="8"/>
      <c r="C10" s="9" t="e" vm="12">
        <f>IF(Edgebands[[#This Row],[QR-Code]]&lt;&gt;"",_xlfn.IMAGE(Edgebands[[#This Row],[QR-Code]],"",3,100,100),"")</f>
        <v>#VALUE!</v>
      </c>
      <c r="D10" s="7" t="e" vm="13">
        <f>IF(Edgebands[[#This Row],[Thumbnail]]&lt;&gt;"",_xlfn.IMAGE(Edgebands[[#This Row],[Thumbnail]],"",3,100,100),"")</f>
        <v>#VALUE!</v>
      </c>
      <c r="E10" s="8"/>
      <c r="F10" s="8"/>
      <c r="G10" s="1"/>
      <c r="H10" s="1"/>
      <c r="I10" s="4"/>
      <c r="J10" s="1"/>
      <c r="K10" s="1"/>
      <c r="L10" s="8"/>
      <c r="M10" s="5"/>
      <c r="N10" s="4">
        <f>Edgebands[[#This Row],[Length]]*Edgebands[[#This Row],[Costs / m]]</f>
        <v>40</v>
      </c>
      <c r="O10" s="11">
        <f ca="1">DATEDIF(Edgebands[[#This Row],[Creation date]],TODAY(),"M")</f>
        <v>14</v>
      </c>
      <c r="P10" s="5"/>
      <c r="Q10" s="8"/>
      <c r="R10" s="8"/>
      <c r="S10" s="8"/>
      <c r="U10" s="1"/>
      <c r="V10" s="1"/>
      <c r="Z10" s="1"/>
      <c r="AA10" s="1"/>
    </row>
    <row r="11" spans="1:27" ht="91.8" x14ac:dyDescent="0.3">
      <c r="A11" s="2"/>
      <c r="B11" s="8"/>
      <c r="C11" s="9" t="e" vm="14">
        <f>IF(Edgebands[[#This Row],[QR-Code]]&lt;&gt;"",_xlfn.IMAGE(Edgebands[[#This Row],[QR-Code]],"",3,100,100),"")</f>
        <v>#VALUE!</v>
      </c>
      <c r="D11" s="7" t="e" vm="13">
        <f>IF(Edgebands[[#This Row],[Thumbnail]]&lt;&gt;"",_xlfn.IMAGE(Edgebands[[#This Row],[Thumbnail]],"",3,100,100),"")</f>
        <v>#VALUE!</v>
      </c>
      <c r="E11" s="8"/>
      <c r="F11" s="8"/>
      <c r="G11" s="1"/>
      <c r="H11" s="1"/>
      <c r="I11" s="4"/>
      <c r="J11" s="1"/>
      <c r="K11" s="1"/>
      <c r="L11" s="8"/>
      <c r="M11" s="5"/>
      <c r="N11" s="4">
        <f>Edgebands[[#This Row],[Length]]*Edgebands[[#This Row],[Costs / m]]</f>
        <v>40</v>
      </c>
      <c r="O11" s="11">
        <f ca="1">DATEDIF(Edgebands[[#This Row],[Creation date]],TODAY(),"M")</f>
        <v>14</v>
      </c>
      <c r="P11" s="5"/>
      <c r="Q11" s="8"/>
      <c r="R11" s="8"/>
      <c r="S11" s="8"/>
      <c r="U11" s="1"/>
      <c r="V11" s="1"/>
      <c r="Z11" s="1"/>
      <c r="AA11" s="1"/>
    </row>
    <row r="12" spans="1:27" ht="91.8" x14ac:dyDescent="0.3">
      <c r="A12" s="2"/>
      <c r="B12" s="8"/>
      <c r="C12" s="9" t="e" vm="15">
        <f>IF(Edgebands[[#This Row],[QR-Code]]&lt;&gt;"",_xlfn.IMAGE(Edgebands[[#This Row],[QR-Code]],"",3,100,100),"")</f>
        <v>#VALUE!</v>
      </c>
      <c r="D12" s="7" t="e" vm="13">
        <f>IF(Edgebands[[#This Row],[Thumbnail]]&lt;&gt;"",_xlfn.IMAGE(Edgebands[[#This Row],[Thumbnail]],"",3,100,100),"")</f>
        <v>#VALUE!</v>
      </c>
      <c r="E12" s="8"/>
      <c r="F12" s="8"/>
      <c r="G12" s="1"/>
      <c r="H12" s="1"/>
      <c r="I12" s="4"/>
      <c r="J12" s="1"/>
      <c r="K12" s="1"/>
      <c r="L12" s="8"/>
      <c r="M12" s="5"/>
      <c r="N12" s="4">
        <f>Edgebands[[#This Row],[Length]]*Edgebands[[#This Row],[Costs / m]]</f>
        <v>40</v>
      </c>
      <c r="O12" s="11">
        <f ca="1">DATEDIF(Edgebands[[#This Row],[Creation date]],TODAY(),"M")</f>
        <v>14</v>
      </c>
      <c r="P12" s="5"/>
      <c r="Q12" s="8"/>
      <c r="R12" s="8"/>
      <c r="S12" s="8"/>
      <c r="U12" s="1"/>
      <c r="V12" s="1"/>
      <c r="Z12" s="1"/>
      <c r="AA12" s="1"/>
    </row>
    <row r="13" spans="1:27" ht="91.8" x14ac:dyDescent="0.3">
      <c r="A13" s="1"/>
      <c r="B13" s="8"/>
      <c r="C13" s="9" t="e" vm="16">
        <f>IF(Edgebands[[#This Row],[QR-Code]]&lt;&gt;"",_xlfn.IMAGE(Edgebands[[#This Row],[QR-Code]],"",3,100,100),"")</f>
        <v>#VALUE!</v>
      </c>
      <c r="D13" s="10" t="e" vm="13">
        <f>IF(Edgebands[[#This Row],[Thumbnail]]&lt;&gt;"",_xlfn.IMAGE(Edgebands[[#This Row],[Thumbnail]],"",3,100,100),"")</f>
        <v>#VALUE!</v>
      </c>
      <c r="E13" s="8"/>
      <c r="F13" s="8"/>
      <c r="G13" s="1"/>
      <c r="H13" s="1"/>
      <c r="I13" s="4"/>
      <c r="J13" s="1"/>
      <c r="K13" s="1"/>
      <c r="L13" s="8"/>
      <c r="M13" s="5"/>
      <c r="N13" s="4">
        <f>Edgebands[[#This Row],[Length]]*Edgebands[[#This Row],[Costs / m]]</f>
        <v>40</v>
      </c>
      <c r="O13" s="11">
        <f ca="1">DATEDIF(Edgebands[[#This Row],[Creation date]],TODAY(),"M")</f>
        <v>14</v>
      </c>
      <c r="P13" s="5"/>
      <c r="Q13" s="8"/>
      <c r="R13" s="8"/>
      <c r="S13" s="8"/>
      <c r="U13" s="1"/>
      <c r="V13"/>
      <c r="W13" s="6"/>
      <c r="Z13" s="1"/>
      <c r="AA13" s="1"/>
    </row>
    <row r="14" spans="1:27" ht="91.8" x14ac:dyDescent="0.3">
      <c r="A14" s="1"/>
      <c r="B14" s="8"/>
      <c r="C14" s="9" t="e" vm="17">
        <f>IF(Edgebands[[#This Row],[QR-Code]]&lt;&gt;"",_xlfn.IMAGE(Edgebands[[#This Row],[QR-Code]],"",3,100,100),"")</f>
        <v>#VALUE!</v>
      </c>
      <c r="D14" s="10" t="e" vm="13">
        <f>IF(Edgebands[[#This Row],[Thumbnail]]&lt;&gt;"",_xlfn.IMAGE(Edgebands[[#This Row],[Thumbnail]],"",3,100,100),"")</f>
        <v>#VALUE!</v>
      </c>
      <c r="E14" s="8"/>
      <c r="F14" s="8"/>
      <c r="G14" s="1"/>
      <c r="H14" s="1"/>
      <c r="I14" s="4"/>
      <c r="J14" s="1"/>
      <c r="K14" s="1"/>
      <c r="L14" s="8"/>
      <c r="M14" s="5"/>
      <c r="N14" s="4">
        <f>Edgebands[[#This Row],[Length]]*Edgebands[[#This Row],[Costs / m]]</f>
        <v>40</v>
      </c>
      <c r="O14" s="11">
        <f ca="1">DATEDIF(Edgebands[[#This Row],[Creation date]],TODAY(),"M")</f>
        <v>14</v>
      </c>
      <c r="P14" s="5"/>
      <c r="Q14" s="8"/>
      <c r="R14" s="8"/>
      <c r="S14" s="8"/>
      <c r="U14" s="1"/>
      <c r="V14"/>
      <c r="W14" s="6"/>
      <c r="Z14" s="1"/>
      <c r="AA14" s="1"/>
    </row>
    <row r="15" spans="1:27" ht="91.8" x14ac:dyDescent="0.3">
      <c r="A15" s="1"/>
      <c r="B15" s="8"/>
      <c r="C15" s="9" t="e" vm="18">
        <f>IF(Edgebands[[#This Row],[QR-Code]]&lt;&gt;"",_xlfn.IMAGE(Edgebands[[#This Row],[QR-Code]],"",3,100,100),"")</f>
        <v>#VALUE!</v>
      </c>
      <c r="D15" s="10" t="e" vm="19">
        <f>IF(Edgebands[[#This Row],[Thumbnail]]&lt;&gt;"",_xlfn.IMAGE(Edgebands[[#This Row],[Thumbnail]],"",3,100,100),"")</f>
        <v>#VALUE!</v>
      </c>
      <c r="E15" s="8"/>
      <c r="F15" s="8"/>
      <c r="G15" s="1"/>
      <c r="H15" s="1"/>
      <c r="I15" s="4"/>
      <c r="J15" s="1"/>
      <c r="K15" s="1"/>
      <c r="L15" s="8"/>
      <c r="M15" s="5"/>
      <c r="N15" s="4">
        <f>Edgebands[[#This Row],[Length]]*Edgebands[[#This Row],[Costs / m]]</f>
        <v>42.000000000000007</v>
      </c>
      <c r="O15" s="11">
        <f ca="1">DATEDIF(Edgebands[[#This Row],[Creation date]],TODAY(),"M")</f>
        <v>14</v>
      </c>
      <c r="P15" s="5"/>
      <c r="Q15" s="8"/>
      <c r="R15" s="8"/>
      <c r="S15" s="8"/>
      <c r="U15" s="1"/>
      <c r="V15"/>
      <c r="W15" s="6"/>
      <c r="Z15" s="1"/>
      <c r="AA15" s="1"/>
    </row>
    <row r="16" spans="1:27" ht="91.8" x14ac:dyDescent="0.3">
      <c r="A16" s="1"/>
      <c r="B16" s="8"/>
      <c r="C16" s="9" t="e" vm="20">
        <f>IF(Edgebands[[#This Row],[QR-Code]]&lt;&gt;"",_xlfn.IMAGE(Edgebands[[#This Row],[QR-Code]],"",3,100,100),"")</f>
        <v>#VALUE!</v>
      </c>
      <c r="D16" s="10" t="e" vm="21">
        <f>IF(Edgebands[[#This Row],[Thumbnail]]&lt;&gt;"",_xlfn.IMAGE(Edgebands[[#This Row],[Thumbnail]],"",3,100,100),"")</f>
        <v>#VALUE!</v>
      </c>
      <c r="E16" s="8"/>
      <c r="F16" s="8"/>
      <c r="G16" s="1"/>
      <c r="H16" s="1"/>
      <c r="I16" s="4"/>
      <c r="J16" s="1"/>
      <c r="K16" s="1"/>
      <c r="L16" s="8"/>
      <c r="M16" s="5"/>
      <c r="N16" s="4">
        <f>Edgebands[[#This Row],[Length]]*Edgebands[[#This Row],[Costs / m]]</f>
        <v>42.000000000000007</v>
      </c>
      <c r="O16" s="11">
        <f ca="1">DATEDIF(Edgebands[[#This Row],[Creation date]],TODAY(),"M")</f>
        <v>12</v>
      </c>
      <c r="P16" s="5"/>
      <c r="Q16" s="8"/>
      <c r="R16" s="8"/>
      <c r="S16" s="8"/>
      <c r="U16" s="1"/>
      <c r="V16"/>
      <c r="W16" s="6"/>
      <c r="Z16" s="1"/>
      <c r="AA16" s="1"/>
    </row>
    <row r="17" spans="1:27" ht="91.8" x14ac:dyDescent="0.3">
      <c r="A17" s="1"/>
      <c r="B17" s="8"/>
      <c r="C17" s="9" t="e" vm="22">
        <f>IF(Edgebands[[#This Row],[QR-Code]]&lt;&gt;"",_xlfn.IMAGE(Edgebands[[#This Row],[QR-Code]],"",3,100,100),"")</f>
        <v>#VALUE!</v>
      </c>
      <c r="D17" s="10" t="e" vm="23">
        <f>IF(Edgebands[[#This Row],[Thumbnail]]&lt;&gt;"",_xlfn.IMAGE(Edgebands[[#This Row],[Thumbnail]],"",3,100,100),"")</f>
        <v>#VALUE!</v>
      </c>
      <c r="E17" s="8"/>
      <c r="F17" s="8"/>
      <c r="G17" s="1"/>
      <c r="H17" s="1"/>
      <c r="I17" s="4"/>
      <c r="J17" s="1"/>
      <c r="K17" s="1"/>
      <c r="L17" s="8"/>
      <c r="M17" s="5"/>
      <c r="N17" s="4">
        <f>Edgebands[[#This Row],[Length]]*Edgebands[[#This Row],[Costs / m]]</f>
        <v>17.399999999999999</v>
      </c>
      <c r="O17" s="11">
        <f ca="1">DATEDIF(Edgebands[[#This Row],[Creation date]],TODAY(),"M")</f>
        <v>10</v>
      </c>
      <c r="P17" s="5"/>
      <c r="Q17" s="8"/>
      <c r="R17" s="8"/>
      <c r="S17" s="8"/>
      <c r="U17" s="1"/>
      <c r="V17"/>
      <c r="W17" s="6"/>
      <c r="Z17" s="1"/>
      <c r="AA17" s="1"/>
    </row>
    <row r="18" spans="1:27" ht="91.8" x14ac:dyDescent="0.3">
      <c r="A18" s="1"/>
      <c r="B18" s="8"/>
      <c r="C18" s="9" t="e" vm="24">
        <f>IF(Edgebands[[#This Row],[QR-Code]]&lt;&gt;"",_xlfn.IMAGE(Edgebands[[#This Row],[QR-Code]],"",3,100,100),"")</f>
        <v>#VALUE!</v>
      </c>
      <c r="D18" s="10" t="e" vm="25">
        <f>IF(Edgebands[[#This Row],[Thumbnail]]&lt;&gt;"",_xlfn.IMAGE(Edgebands[[#This Row],[Thumbnail]],"",3,100,100),"")</f>
        <v>#VALUE!</v>
      </c>
      <c r="E18" s="8"/>
      <c r="F18" s="8"/>
      <c r="G18" s="1"/>
      <c r="H18" s="1"/>
      <c r="I18" s="4"/>
      <c r="J18" s="1"/>
      <c r="K18" s="1"/>
      <c r="L18" s="8"/>
      <c r="M18" s="5"/>
      <c r="N18" s="4">
        <f>Edgebands[[#This Row],[Length]]*Edgebands[[#This Row],[Costs / m]]</f>
        <v>0</v>
      </c>
      <c r="O18" s="11">
        <f ca="1">DATEDIF(Edgebands[[#This Row],[Creation date]],TODAY(),"M")</f>
        <v>10</v>
      </c>
      <c r="P18" s="5"/>
      <c r="Q18" s="8"/>
      <c r="R18" s="8"/>
      <c r="S18" s="8"/>
      <c r="U18" s="1"/>
      <c r="V18"/>
      <c r="W18" s="6"/>
      <c r="Z18" s="1"/>
      <c r="AA18" s="1"/>
    </row>
    <row r="19" spans="1:27" ht="91.8" x14ac:dyDescent="0.3">
      <c r="A19" s="1"/>
      <c r="B19" s="8"/>
      <c r="C19" s="9" t="e" vm="26">
        <f>IF(Edgebands[[#This Row],[QR-Code]]&lt;&gt;"",_xlfn.IMAGE(Edgebands[[#This Row],[QR-Code]],"",3,100,100),"")</f>
        <v>#VALUE!</v>
      </c>
      <c r="D19" s="10" t="e" vm="27">
        <f>IF(Edgebands[[#This Row],[Thumbnail]]&lt;&gt;"",_xlfn.IMAGE(Edgebands[[#This Row],[Thumbnail]],"",3,100,100),"")</f>
        <v>#VALUE!</v>
      </c>
      <c r="E19" s="8"/>
      <c r="F19" s="8"/>
      <c r="G19" s="1"/>
      <c r="H19" s="1"/>
      <c r="I19" s="4"/>
      <c r="J19" s="1"/>
      <c r="K19" s="1"/>
      <c r="L19" s="8"/>
      <c r="M19" s="5"/>
      <c r="N19" s="4">
        <f>Edgebands[[#This Row],[Length]]*Edgebands[[#This Row],[Costs / m]]</f>
        <v>0</v>
      </c>
      <c r="O19" s="11">
        <f ca="1">DATEDIF(Edgebands[[#This Row],[Creation date]],TODAY(),"M")</f>
        <v>10</v>
      </c>
      <c r="P19" s="5"/>
      <c r="Q19" s="8"/>
      <c r="R19" s="8"/>
      <c r="S19" s="8"/>
      <c r="U19" s="1"/>
      <c r="V19"/>
      <c r="W19" s="6"/>
      <c r="Z19" s="1"/>
      <c r="AA19" s="1"/>
    </row>
    <row r="20" spans="1:27" ht="91.8" x14ac:dyDescent="0.3">
      <c r="A20" s="1"/>
      <c r="B20" s="8"/>
      <c r="C20" s="9" t="e" vm="28">
        <f>IF(Edgebands[[#This Row],[QR-Code]]&lt;&gt;"",_xlfn.IMAGE(Edgebands[[#This Row],[QR-Code]],"",3,100,100),"")</f>
        <v>#VALUE!</v>
      </c>
      <c r="D20" s="10" t="e" vm="27">
        <f>IF(Edgebands[[#This Row],[Thumbnail]]&lt;&gt;"",_xlfn.IMAGE(Edgebands[[#This Row],[Thumbnail]],"",3,100,100),"")</f>
        <v>#VALUE!</v>
      </c>
      <c r="E20" s="8"/>
      <c r="F20" s="8"/>
      <c r="G20" s="1"/>
      <c r="H20" s="1"/>
      <c r="I20" s="4"/>
      <c r="J20" s="1"/>
      <c r="K20" s="1"/>
      <c r="L20" s="8"/>
      <c r="M20" s="5"/>
      <c r="N20" s="4">
        <f>Edgebands[[#This Row],[Length]]*Edgebands[[#This Row],[Costs / m]]</f>
        <v>0</v>
      </c>
      <c r="O20" s="11">
        <f ca="1">DATEDIF(Edgebands[[#This Row],[Creation date]],TODAY(),"M")</f>
        <v>10</v>
      </c>
      <c r="P20" s="5"/>
      <c r="Q20" s="8"/>
      <c r="R20" s="8"/>
      <c r="S20" s="8"/>
      <c r="U20" s="1"/>
      <c r="V20"/>
      <c r="W20" s="6"/>
      <c r="Z20" s="1"/>
      <c r="AA20" s="1"/>
    </row>
    <row r="21" spans="1:27" ht="91.8" x14ac:dyDescent="0.3">
      <c r="A21" s="1"/>
      <c r="B21" s="8"/>
      <c r="C21" s="9" t="e" vm="29">
        <f>IF(Edgebands[[#This Row],[QR-Code]]&lt;&gt;"",_xlfn.IMAGE(Edgebands[[#This Row],[QR-Code]],"",3,100,100),"")</f>
        <v>#VALUE!</v>
      </c>
      <c r="D21" s="10" t="e" vm="27">
        <f>IF(Edgebands[[#This Row],[Thumbnail]]&lt;&gt;"",_xlfn.IMAGE(Edgebands[[#This Row],[Thumbnail]],"",3,100,100),"")</f>
        <v>#VALUE!</v>
      </c>
      <c r="E21" s="8"/>
      <c r="F21" s="8"/>
      <c r="G21" s="1"/>
      <c r="H21" s="1"/>
      <c r="I21" s="4"/>
      <c r="J21" s="1"/>
      <c r="K21" s="1"/>
      <c r="L21" s="8"/>
      <c r="M21" s="5"/>
      <c r="N21" s="4">
        <f>Edgebands[[#This Row],[Length]]*Edgebands[[#This Row],[Costs / m]]</f>
        <v>0</v>
      </c>
      <c r="O21" s="11">
        <f ca="1">DATEDIF(Edgebands[[#This Row],[Creation date]],TODAY(),"M")</f>
        <v>10</v>
      </c>
      <c r="P21" s="5"/>
      <c r="Q21" s="8"/>
      <c r="R21" s="8"/>
      <c r="S21" s="8"/>
      <c r="U21" s="1"/>
      <c r="V21"/>
      <c r="W21" s="6"/>
      <c r="Z21" s="1"/>
      <c r="AA21" s="1"/>
    </row>
    <row r="22" spans="1:27" ht="91.8" x14ac:dyDescent="0.3">
      <c r="A22" s="1"/>
      <c r="B22" s="8"/>
      <c r="C22" s="9" t="e" vm="30">
        <f>IF(Edgebands[[#This Row],[QR-Code]]&lt;&gt;"",_xlfn.IMAGE(Edgebands[[#This Row],[QR-Code]],"",3,100,100),"")</f>
        <v>#VALUE!</v>
      </c>
      <c r="D22" s="10" t="e" vm="27">
        <f>IF(Edgebands[[#This Row],[Thumbnail]]&lt;&gt;"",_xlfn.IMAGE(Edgebands[[#This Row],[Thumbnail]],"",3,100,100),"")</f>
        <v>#VALUE!</v>
      </c>
      <c r="E22" s="8"/>
      <c r="F22" s="8"/>
      <c r="G22" s="1"/>
      <c r="H22" s="1"/>
      <c r="I22" s="4"/>
      <c r="J22" s="1"/>
      <c r="K22" s="1"/>
      <c r="L22" s="8"/>
      <c r="M22" s="5"/>
      <c r="N22" s="4">
        <f>Edgebands[[#This Row],[Length]]*Edgebands[[#This Row],[Costs / m]]</f>
        <v>0</v>
      </c>
      <c r="O22" s="11">
        <f ca="1">DATEDIF(Edgebands[[#This Row],[Creation date]],TODAY(),"M")</f>
        <v>10</v>
      </c>
      <c r="P22" s="5"/>
      <c r="Q22" s="8"/>
      <c r="R22" s="8"/>
      <c r="S22" s="8"/>
      <c r="U22" s="1"/>
      <c r="V22"/>
      <c r="W22" s="6"/>
      <c r="Z22" s="1"/>
      <c r="AA22" s="1"/>
    </row>
    <row r="23" spans="1:27" ht="91.8" x14ac:dyDescent="0.3">
      <c r="A23" s="1"/>
      <c r="B23" s="8"/>
      <c r="C23" s="9" t="e" vm="31">
        <f>IF(Edgebands[[#This Row],[QR-Code]]&lt;&gt;"",_xlfn.IMAGE(Edgebands[[#This Row],[QR-Code]],"",3,100,100),"")</f>
        <v>#VALUE!</v>
      </c>
      <c r="D23" s="10" t="e" vm="27">
        <f>IF(Edgebands[[#This Row],[Thumbnail]]&lt;&gt;"",_xlfn.IMAGE(Edgebands[[#This Row],[Thumbnail]],"",3,100,100),"")</f>
        <v>#VALUE!</v>
      </c>
      <c r="E23" s="8"/>
      <c r="F23" s="8"/>
      <c r="G23" s="1"/>
      <c r="H23" s="1"/>
      <c r="I23" s="4"/>
      <c r="J23" s="1"/>
      <c r="K23" s="1"/>
      <c r="L23" s="8"/>
      <c r="M23" s="5"/>
      <c r="N23" s="4">
        <f>Edgebands[[#This Row],[Length]]*Edgebands[[#This Row],[Costs / m]]</f>
        <v>0</v>
      </c>
      <c r="O23" s="11">
        <f ca="1">DATEDIF(Edgebands[[#This Row],[Creation date]],TODAY(),"M")</f>
        <v>10</v>
      </c>
      <c r="P23" s="5"/>
      <c r="Q23" s="8"/>
      <c r="R23" s="8"/>
      <c r="S23" s="8"/>
      <c r="U23" s="1"/>
      <c r="V23"/>
      <c r="W23" s="6"/>
      <c r="Z23" s="1"/>
      <c r="AA23" s="1"/>
    </row>
    <row r="24" spans="1:27" ht="91.8" x14ac:dyDescent="0.3">
      <c r="A24" s="1"/>
      <c r="B24" s="8"/>
      <c r="C24" s="9" t="e" vm="32">
        <f>IF(Edgebands[[#This Row],[QR-Code]]&lt;&gt;"",_xlfn.IMAGE(Edgebands[[#This Row],[QR-Code]],"",3,100,100),"")</f>
        <v>#VALUE!</v>
      </c>
      <c r="D24" s="10" t="e" vm="27">
        <f>IF(Edgebands[[#This Row],[Thumbnail]]&lt;&gt;"",_xlfn.IMAGE(Edgebands[[#This Row],[Thumbnail]],"",3,100,100),"")</f>
        <v>#VALUE!</v>
      </c>
      <c r="E24" s="8"/>
      <c r="F24" s="8"/>
      <c r="G24" s="1"/>
      <c r="H24" s="1"/>
      <c r="I24" s="4"/>
      <c r="J24" s="1"/>
      <c r="K24" s="1"/>
      <c r="L24" s="8"/>
      <c r="M24" s="5"/>
      <c r="N24" s="4">
        <f>Edgebands[[#This Row],[Length]]*Edgebands[[#This Row],[Costs / m]]</f>
        <v>0</v>
      </c>
      <c r="O24" s="11">
        <f ca="1">DATEDIF(Edgebands[[#This Row],[Creation date]],TODAY(),"M")</f>
        <v>10</v>
      </c>
      <c r="P24" s="5"/>
      <c r="Q24" s="8"/>
      <c r="R24" s="8"/>
      <c r="S24" s="8"/>
      <c r="U24" s="1"/>
      <c r="V24"/>
      <c r="W24" s="6"/>
      <c r="Z24" s="1"/>
      <c r="AA24" s="1"/>
    </row>
    <row r="25" spans="1:27" ht="91.8" x14ac:dyDescent="0.3">
      <c r="A25" s="1"/>
      <c r="B25" s="8"/>
      <c r="C25" s="9" t="e" vm="33">
        <f>IF(Edgebands[[#This Row],[QR-Code]]&lt;&gt;"",_xlfn.IMAGE(Edgebands[[#This Row],[QR-Code]],"",3,100,100),"")</f>
        <v>#VALUE!</v>
      </c>
      <c r="D25" s="10" t="e" vm="27">
        <f>IF(Edgebands[[#This Row],[Thumbnail]]&lt;&gt;"",_xlfn.IMAGE(Edgebands[[#This Row],[Thumbnail]],"",3,100,100),"")</f>
        <v>#VALUE!</v>
      </c>
      <c r="E25" s="8"/>
      <c r="F25" s="8"/>
      <c r="G25" s="1"/>
      <c r="H25" s="1"/>
      <c r="I25" s="4"/>
      <c r="J25" s="1"/>
      <c r="K25" s="1"/>
      <c r="L25" s="8"/>
      <c r="M25" s="5"/>
      <c r="N25" s="4">
        <f>Edgebands[[#This Row],[Length]]*Edgebands[[#This Row],[Costs / m]]</f>
        <v>0</v>
      </c>
      <c r="O25" s="11">
        <f ca="1">DATEDIF(Edgebands[[#This Row],[Creation date]],TODAY(),"M")</f>
        <v>10</v>
      </c>
      <c r="P25" s="5"/>
      <c r="Q25" s="8"/>
      <c r="R25" s="8"/>
      <c r="S25" s="8"/>
      <c r="U25" s="1"/>
      <c r="V25"/>
      <c r="W25" s="6"/>
      <c r="Z25" s="1"/>
      <c r="AA25" s="1"/>
    </row>
    <row r="26" spans="1:27" ht="91.8" x14ac:dyDescent="0.3">
      <c r="A26" s="1"/>
      <c r="B26" s="8"/>
      <c r="C26" s="9" t="e" vm="34">
        <f>IF(Edgebands[[#This Row],[QR-Code]]&lt;&gt;"",_xlfn.IMAGE(Edgebands[[#This Row],[QR-Code]],"",3,100,100),"")</f>
        <v>#VALUE!</v>
      </c>
      <c r="D26" s="10" t="e" vm="27">
        <f>IF(Edgebands[[#This Row],[Thumbnail]]&lt;&gt;"",_xlfn.IMAGE(Edgebands[[#This Row],[Thumbnail]],"",3,100,100),"")</f>
        <v>#VALUE!</v>
      </c>
      <c r="E26" s="8"/>
      <c r="F26" s="8"/>
      <c r="G26" s="1"/>
      <c r="H26" s="1"/>
      <c r="I26" s="4"/>
      <c r="J26" s="1"/>
      <c r="K26" s="1"/>
      <c r="L26" s="8"/>
      <c r="M26" s="5"/>
      <c r="N26" s="4">
        <f>Edgebands[[#This Row],[Length]]*Edgebands[[#This Row],[Costs / m]]</f>
        <v>0</v>
      </c>
      <c r="O26" s="11">
        <f ca="1">DATEDIF(Edgebands[[#This Row],[Creation date]],TODAY(),"M")</f>
        <v>10</v>
      </c>
      <c r="P26" s="5"/>
      <c r="Q26" s="8"/>
      <c r="R26" s="8"/>
      <c r="S26" s="8"/>
      <c r="U26" s="1"/>
      <c r="V26"/>
      <c r="W26" s="6"/>
      <c r="Z26" s="1"/>
      <c r="AA26" s="1"/>
    </row>
    <row r="27" spans="1:27" ht="91.8" x14ac:dyDescent="0.3">
      <c r="A27" s="1"/>
      <c r="B27" s="8"/>
      <c r="C27" s="9" t="e" vm="35">
        <f>IF(Edgebands[[#This Row],[QR-Code]]&lt;&gt;"",_xlfn.IMAGE(Edgebands[[#This Row],[QR-Code]],"",3,100,100),"")</f>
        <v>#VALUE!</v>
      </c>
      <c r="D27" s="10" t="e" vm="27">
        <f>IF(Edgebands[[#This Row],[Thumbnail]]&lt;&gt;"",_xlfn.IMAGE(Edgebands[[#This Row],[Thumbnail]],"",3,100,100),"")</f>
        <v>#VALUE!</v>
      </c>
      <c r="E27" s="8"/>
      <c r="F27" s="8"/>
      <c r="G27" s="1"/>
      <c r="H27" s="1"/>
      <c r="I27" s="4"/>
      <c r="J27" s="1"/>
      <c r="K27" s="1"/>
      <c r="L27" s="8"/>
      <c r="M27" s="5"/>
      <c r="N27" s="4">
        <f>Edgebands[[#This Row],[Length]]*Edgebands[[#This Row],[Costs / m]]</f>
        <v>0</v>
      </c>
      <c r="O27" s="11">
        <f ca="1">DATEDIF(Edgebands[[#This Row],[Creation date]],TODAY(),"M")</f>
        <v>10</v>
      </c>
      <c r="P27" s="5"/>
      <c r="Q27" s="8"/>
      <c r="R27" s="8"/>
      <c r="S27" s="8"/>
      <c r="U27" s="1"/>
      <c r="V27"/>
      <c r="W27" s="6"/>
      <c r="Z27" s="1"/>
      <c r="AA27" s="1"/>
    </row>
    <row r="28" spans="1:27" ht="91.8" x14ac:dyDescent="0.3">
      <c r="A28" s="1"/>
      <c r="B28" s="8"/>
      <c r="C28" s="9" t="e" vm="36">
        <f>IF(Edgebands[[#This Row],[QR-Code]]&lt;&gt;"",_xlfn.IMAGE(Edgebands[[#This Row],[QR-Code]],"",3,100,100),"")</f>
        <v>#VALUE!</v>
      </c>
      <c r="D28" s="10" t="e" vm="27">
        <f>IF(Edgebands[[#This Row],[Thumbnail]]&lt;&gt;"",_xlfn.IMAGE(Edgebands[[#This Row],[Thumbnail]],"",3,100,100),"")</f>
        <v>#VALUE!</v>
      </c>
      <c r="E28" s="8"/>
      <c r="F28" s="8"/>
      <c r="G28" s="1"/>
      <c r="H28" s="1"/>
      <c r="I28" s="4"/>
      <c r="J28" s="1"/>
      <c r="K28" s="1"/>
      <c r="L28" s="8"/>
      <c r="M28" s="5"/>
      <c r="N28" s="4">
        <f>Edgebands[[#This Row],[Length]]*Edgebands[[#This Row],[Costs / m]]</f>
        <v>0</v>
      </c>
      <c r="O28" s="11">
        <f ca="1">DATEDIF(Edgebands[[#This Row],[Creation date]],TODAY(),"M")</f>
        <v>10</v>
      </c>
      <c r="P28" s="5"/>
      <c r="Q28" s="8"/>
      <c r="R28" s="8"/>
      <c r="S28" s="8"/>
      <c r="U28" s="1"/>
      <c r="V28"/>
      <c r="W28" s="6"/>
      <c r="Z28" s="1"/>
      <c r="AA28" s="1"/>
    </row>
    <row r="29" spans="1:27" ht="91.8" x14ac:dyDescent="0.3">
      <c r="A29" s="1"/>
      <c r="B29" s="8"/>
      <c r="C29" s="9" t="e" vm="37">
        <f>IF(Edgebands[[#This Row],[QR-Code]]&lt;&gt;"",_xlfn.IMAGE(Edgebands[[#This Row],[QR-Code]],"",3,100,100),"")</f>
        <v>#VALUE!</v>
      </c>
      <c r="D29" s="10" t="e" vm="38">
        <f>IF(Edgebands[[#This Row],[Thumbnail]]&lt;&gt;"",_xlfn.IMAGE(Edgebands[[#This Row],[Thumbnail]],"",3,100,100),"")</f>
        <v>#VALUE!</v>
      </c>
      <c r="E29" s="8"/>
      <c r="F29" s="8"/>
      <c r="G29" s="1"/>
      <c r="H29" s="1"/>
      <c r="I29" s="4"/>
      <c r="J29" s="1"/>
      <c r="K29" s="1"/>
      <c r="L29" s="8"/>
      <c r="M29" s="5"/>
      <c r="N29" s="4">
        <f>Edgebands[[#This Row],[Length]]*Edgebands[[#This Row],[Costs / m]]</f>
        <v>0</v>
      </c>
      <c r="O29" s="11">
        <f ca="1">DATEDIF(Edgebands[[#This Row],[Creation date]],TODAY(),"M")</f>
        <v>10</v>
      </c>
      <c r="P29" s="5"/>
      <c r="Q29" s="8"/>
      <c r="R29" s="8"/>
      <c r="S29" s="8"/>
      <c r="U29" s="1"/>
      <c r="V29"/>
      <c r="W29" s="6"/>
      <c r="Z29" s="1"/>
      <c r="AA29" s="1"/>
    </row>
    <row r="30" spans="1:27" ht="91.8" x14ac:dyDescent="0.3">
      <c r="A30" s="1"/>
      <c r="B30" s="8"/>
      <c r="C30" s="9" t="e" vm="39">
        <f>IF(Edgebands[[#This Row],[QR-Code]]&lt;&gt;"",_xlfn.IMAGE(Edgebands[[#This Row],[QR-Code]],"",3,100,100),"")</f>
        <v>#VALUE!</v>
      </c>
      <c r="D30" s="10" t="e" vm="40">
        <f>IF(Edgebands[[#This Row],[Thumbnail]]&lt;&gt;"",_xlfn.IMAGE(Edgebands[[#This Row],[Thumbnail]],"",3,100,100),"")</f>
        <v>#VALUE!</v>
      </c>
      <c r="E30" s="8"/>
      <c r="F30" s="8"/>
      <c r="G30" s="1"/>
      <c r="H30" s="1"/>
      <c r="I30" s="4"/>
      <c r="J30" s="1"/>
      <c r="K30" s="1"/>
      <c r="L30" s="8"/>
      <c r="M30" s="5"/>
      <c r="N30" s="4">
        <f>Edgebands[[#This Row],[Length]]*Edgebands[[#This Row],[Costs / m]]</f>
        <v>0</v>
      </c>
      <c r="O30" s="11">
        <f ca="1">DATEDIF(Edgebands[[#This Row],[Creation date]],TODAY(),"M")</f>
        <v>10</v>
      </c>
      <c r="P30" s="5"/>
      <c r="Q30" s="8"/>
      <c r="R30" s="8"/>
      <c r="S30" s="8"/>
      <c r="U30" s="1"/>
      <c r="V30"/>
      <c r="W30" s="6"/>
      <c r="Z30" s="1"/>
      <c r="AA30" s="1"/>
    </row>
    <row r="31" spans="1:27" ht="91.8" x14ac:dyDescent="0.3">
      <c r="A31" s="1"/>
      <c r="B31" s="8"/>
      <c r="C31" s="9" t="e" vm="41">
        <f>IF(Edgebands[[#This Row],[QR-Code]]&lt;&gt;"",_xlfn.IMAGE(Edgebands[[#This Row],[QR-Code]],"",3,100,100),"")</f>
        <v>#VALUE!</v>
      </c>
      <c r="D31" s="10" t="e" vm="40">
        <f>IF(Edgebands[[#This Row],[Thumbnail]]&lt;&gt;"",_xlfn.IMAGE(Edgebands[[#This Row],[Thumbnail]],"",3,100,100),"")</f>
        <v>#VALUE!</v>
      </c>
      <c r="E31" s="8"/>
      <c r="F31" s="8"/>
      <c r="G31" s="1"/>
      <c r="H31" s="1"/>
      <c r="I31" s="4"/>
      <c r="J31" s="1"/>
      <c r="K31" s="1"/>
      <c r="L31" s="8"/>
      <c r="M31" s="5"/>
      <c r="N31" s="4">
        <f>Edgebands[[#This Row],[Length]]*Edgebands[[#This Row],[Costs / m]]</f>
        <v>0</v>
      </c>
      <c r="O31" s="11">
        <f ca="1">DATEDIF(Edgebands[[#This Row],[Creation date]],TODAY(),"M")</f>
        <v>10</v>
      </c>
      <c r="P31" s="5"/>
      <c r="Q31" s="8"/>
      <c r="R31" s="8"/>
      <c r="S31" s="8"/>
      <c r="U31" s="1"/>
      <c r="V31"/>
      <c r="W31" s="6"/>
      <c r="Z31" s="1"/>
      <c r="AA31" s="1"/>
    </row>
    <row r="32" spans="1:27" ht="91.8" x14ac:dyDescent="0.3">
      <c r="A32" s="1"/>
      <c r="B32" s="8"/>
      <c r="C32" s="9" t="e" vm="42">
        <f>IF(Edgebands[[#This Row],[QR-Code]]&lt;&gt;"",_xlfn.IMAGE(Edgebands[[#This Row],[QR-Code]],"",3,100,100),"")</f>
        <v>#VALUE!</v>
      </c>
      <c r="D32" s="10" t="e" vm="40">
        <f>IF(Edgebands[[#This Row],[Thumbnail]]&lt;&gt;"",_xlfn.IMAGE(Edgebands[[#This Row],[Thumbnail]],"",3,100,100),"")</f>
        <v>#VALUE!</v>
      </c>
      <c r="E32" s="8"/>
      <c r="F32" s="8"/>
      <c r="G32" s="1"/>
      <c r="H32" s="1"/>
      <c r="I32" s="4"/>
      <c r="J32" s="1"/>
      <c r="K32" s="1"/>
      <c r="L32" s="8"/>
      <c r="M32" s="5"/>
      <c r="N32" s="4">
        <f>Edgebands[[#This Row],[Length]]*Edgebands[[#This Row],[Costs / m]]</f>
        <v>0</v>
      </c>
      <c r="O32" s="11">
        <f ca="1">DATEDIF(Edgebands[[#This Row],[Creation date]],TODAY(),"M")</f>
        <v>10</v>
      </c>
      <c r="P32" s="5"/>
      <c r="Q32" s="8"/>
      <c r="R32" s="8"/>
      <c r="S32" s="8"/>
      <c r="U32" s="1"/>
      <c r="V32"/>
      <c r="W32" s="6"/>
      <c r="Z32" s="1"/>
      <c r="AA32" s="1"/>
    </row>
    <row r="33" spans="1:27" ht="91.8" x14ac:dyDescent="0.3">
      <c r="A33" s="1"/>
      <c r="B33" s="8"/>
      <c r="C33" s="9" t="e" vm="43">
        <f>IF(Edgebands[[#This Row],[QR-Code]]&lt;&gt;"",_xlfn.IMAGE(Edgebands[[#This Row],[QR-Code]],"",3,100,100),"")</f>
        <v>#VALUE!</v>
      </c>
      <c r="D33" s="10" t="e" vm="2">
        <f>IF(Edgebands[[#This Row],[Thumbnail]]&lt;&gt;"",_xlfn.IMAGE(Edgebands[[#This Row],[Thumbnail]],"",3,100,100),"")</f>
        <v>#VALUE!</v>
      </c>
      <c r="E33" s="8"/>
      <c r="F33" s="8"/>
      <c r="G33" s="1"/>
      <c r="H33" s="1"/>
      <c r="I33" s="4"/>
      <c r="J33" s="1"/>
      <c r="K33" s="1"/>
      <c r="L33" s="8"/>
      <c r="M33" s="5"/>
      <c r="N33" s="4">
        <f>Edgebands[[#This Row],[Length]]*Edgebands[[#This Row],[Costs / m]]</f>
        <v>0</v>
      </c>
      <c r="O33" s="11">
        <f ca="1">DATEDIF(Edgebands[[#This Row],[Creation date]],TODAY(),"M")</f>
        <v>13</v>
      </c>
      <c r="P33" s="5"/>
      <c r="Q33" s="8"/>
      <c r="R33" s="8"/>
      <c r="S33" s="8"/>
      <c r="U33" s="1"/>
      <c r="V33"/>
      <c r="W33" s="6"/>
      <c r="Z33" s="1"/>
      <c r="AA33" s="1"/>
    </row>
    <row r="34" spans="1:27" ht="91.8" x14ac:dyDescent="0.3">
      <c r="A34" s="1"/>
      <c r="B34" s="8"/>
      <c r="C34" s="9" t="e" vm="44">
        <f>IF(Edgebands[[#This Row],[QR-Code]]&lt;&gt;"",_xlfn.IMAGE(Edgebands[[#This Row],[QR-Code]],"",3,100,100),"")</f>
        <v>#VALUE!</v>
      </c>
      <c r="D34" s="10" t="e" vm="40">
        <f>IF(Edgebands[[#This Row],[Thumbnail]]&lt;&gt;"",_xlfn.IMAGE(Edgebands[[#This Row],[Thumbnail]],"",3,100,100),"")</f>
        <v>#VALUE!</v>
      </c>
      <c r="E34" s="8"/>
      <c r="F34" s="8"/>
      <c r="G34" s="1"/>
      <c r="H34" s="1"/>
      <c r="I34" s="4"/>
      <c r="J34" s="1"/>
      <c r="K34" s="1"/>
      <c r="L34" s="8"/>
      <c r="M34" s="5"/>
      <c r="N34" s="4">
        <f>Edgebands[[#This Row],[Length]]*Edgebands[[#This Row],[Costs / m]]</f>
        <v>0</v>
      </c>
      <c r="O34" s="11">
        <f ca="1">DATEDIF(Edgebands[[#This Row],[Creation date]],TODAY(),"M")</f>
        <v>10</v>
      </c>
      <c r="P34" s="5"/>
      <c r="Q34" s="8"/>
      <c r="R34" s="8"/>
      <c r="S34" s="8"/>
      <c r="U34" s="1"/>
      <c r="V34"/>
      <c r="W34" s="6"/>
      <c r="Z34" s="1"/>
      <c r="AA34" s="1"/>
    </row>
    <row r="35" spans="1:27" ht="91.8" x14ac:dyDescent="0.3">
      <c r="A35" s="1"/>
      <c r="B35" s="8"/>
      <c r="C35" s="9" t="e" vm="45">
        <f>IF(Edgebands[[#This Row],[QR-Code]]&lt;&gt;"",_xlfn.IMAGE(Edgebands[[#This Row],[QR-Code]],"",3,100,100),"")</f>
        <v>#VALUE!</v>
      </c>
      <c r="D35" s="10" t="e" vm="40">
        <f>IF(Edgebands[[#This Row],[Thumbnail]]&lt;&gt;"",_xlfn.IMAGE(Edgebands[[#This Row],[Thumbnail]],"",3,100,100),"")</f>
        <v>#VALUE!</v>
      </c>
      <c r="E35" s="8"/>
      <c r="F35" s="8"/>
      <c r="G35" s="1"/>
      <c r="H35" s="1"/>
      <c r="I35" s="4"/>
      <c r="J35" s="1"/>
      <c r="K35" s="1"/>
      <c r="L35" s="8"/>
      <c r="M35" s="5"/>
      <c r="N35" s="4">
        <f>Edgebands[[#This Row],[Length]]*Edgebands[[#This Row],[Costs / m]]</f>
        <v>0</v>
      </c>
      <c r="O35" s="11">
        <f ca="1">DATEDIF(Edgebands[[#This Row],[Creation date]],TODAY(),"M")</f>
        <v>10</v>
      </c>
      <c r="P35" s="5"/>
      <c r="Q35" s="8"/>
      <c r="R35" s="8"/>
      <c r="S35" s="8"/>
      <c r="U35" s="1"/>
      <c r="V35"/>
      <c r="W35" s="6"/>
      <c r="Z35" s="1"/>
      <c r="AA35" s="1"/>
    </row>
    <row r="36" spans="1:27" ht="91.8" x14ac:dyDescent="0.3">
      <c r="A36" s="1"/>
      <c r="B36" s="8"/>
      <c r="C36" s="9" t="e" vm="46">
        <f>IF(Edgebands[[#This Row],[QR-Code]]&lt;&gt;"",_xlfn.IMAGE(Edgebands[[#This Row],[QR-Code]],"",3,100,100),"")</f>
        <v>#VALUE!</v>
      </c>
      <c r="D36" s="10" t="e" vm="40">
        <f>IF(Edgebands[[#This Row],[Thumbnail]]&lt;&gt;"",_xlfn.IMAGE(Edgebands[[#This Row],[Thumbnail]],"",3,100,100),"")</f>
        <v>#VALUE!</v>
      </c>
      <c r="E36" s="8"/>
      <c r="F36" s="8"/>
      <c r="G36" s="1"/>
      <c r="H36" s="1"/>
      <c r="I36" s="4"/>
      <c r="J36" s="1"/>
      <c r="K36" s="1"/>
      <c r="L36" s="8"/>
      <c r="M36" s="5"/>
      <c r="N36" s="4">
        <f>Edgebands[[#This Row],[Length]]*Edgebands[[#This Row],[Costs / m]]</f>
        <v>0</v>
      </c>
      <c r="O36" s="11">
        <f ca="1">DATEDIF(Edgebands[[#This Row],[Creation date]],TODAY(),"M")</f>
        <v>10</v>
      </c>
      <c r="P36" s="5"/>
      <c r="Q36" s="8"/>
      <c r="R36" s="8"/>
      <c r="S36" s="8"/>
      <c r="U36" s="1"/>
      <c r="V36"/>
      <c r="W36" s="6"/>
      <c r="Z36" s="1"/>
      <c r="AA36" s="1"/>
    </row>
    <row r="37" spans="1:27" ht="91.8" x14ac:dyDescent="0.3">
      <c r="A37" s="1"/>
      <c r="B37" s="8"/>
      <c r="C37" s="9" t="e" vm="47">
        <f>IF(Edgebands[[#This Row],[QR-Code]]&lt;&gt;"",_xlfn.IMAGE(Edgebands[[#This Row],[QR-Code]],"",3,100,100),"")</f>
        <v>#VALUE!</v>
      </c>
      <c r="D37" s="10" t="e" vm="40">
        <f>IF(Edgebands[[#This Row],[Thumbnail]]&lt;&gt;"",_xlfn.IMAGE(Edgebands[[#This Row],[Thumbnail]],"",3,100,100),"")</f>
        <v>#VALUE!</v>
      </c>
      <c r="E37" s="8"/>
      <c r="F37" s="8"/>
      <c r="G37" s="1"/>
      <c r="H37" s="1"/>
      <c r="I37" s="4"/>
      <c r="J37" s="1"/>
      <c r="K37" s="1"/>
      <c r="L37" s="8"/>
      <c r="M37" s="5"/>
      <c r="N37" s="4">
        <f>Edgebands[[#This Row],[Length]]*Edgebands[[#This Row],[Costs / m]]</f>
        <v>0</v>
      </c>
      <c r="O37" s="11">
        <f ca="1">DATEDIF(Edgebands[[#This Row],[Creation date]],TODAY(),"M")</f>
        <v>10</v>
      </c>
      <c r="P37" s="5"/>
      <c r="Q37" s="8"/>
      <c r="R37" s="8"/>
      <c r="S37" s="8"/>
      <c r="U37" s="1"/>
      <c r="V37"/>
      <c r="W37" s="6"/>
      <c r="Z37" s="1"/>
      <c r="AA37" s="1"/>
    </row>
    <row r="38" spans="1:27" ht="91.8" x14ac:dyDescent="0.3">
      <c r="A38" s="1"/>
      <c r="B38" s="8"/>
      <c r="C38" s="9" t="e" vm="48">
        <f>IF(Edgebands[[#This Row],[QR-Code]]&lt;&gt;"",_xlfn.IMAGE(Edgebands[[#This Row],[QR-Code]],"",3,100,100),"")</f>
        <v>#VALUE!</v>
      </c>
      <c r="D38" s="10" t="e" vm="40">
        <f>IF(Edgebands[[#This Row],[Thumbnail]]&lt;&gt;"",_xlfn.IMAGE(Edgebands[[#This Row],[Thumbnail]],"",3,100,100),"")</f>
        <v>#VALUE!</v>
      </c>
      <c r="E38" s="8"/>
      <c r="F38" s="8"/>
      <c r="G38" s="1"/>
      <c r="H38" s="1"/>
      <c r="I38" s="4"/>
      <c r="J38" s="1"/>
      <c r="K38" s="1"/>
      <c r="L38" s="8"/>
      <c r="M38" s="5"/>
      <c r="N38" s="4">
        <f>Edgebands[[#This Row],[Length]]*Edgebands[[#This Row],[Costs / m]]</f>
        <v>0</v>
      </c>
      <c r="O38" s="11">
        <f ca="1">DATEDIF(Edgebands[[#This Row],[Creation date]],TODAY(),"M")</f>
        <v>10</v>
      </c>
      <c r="P38" s="5"/>
      <c r="Q38" s="8"/>
      <c r="R38" s="8"/>
      <c r="S38" s="8"/>
      <c r="U38" s="1"/>
      <c r="V38"/>
      <c r="W38" s="6"/>
      <c r="Z38" s="1"/>
      <c r="AA38" s="1"/>
    </row>
    <row r="39" spans="1:27" ht="91.8" x14ac:dyDescent="0.3">
      <c r="A39" s="1"/>
      <c r="B39" s="8"/>
      <c r="C39" s="9" t="e" vm="49">
        <f>IF(Edgebands[[#This Row],[QR-Code]]&lt;&gt;"",_xlfn.IMAGE(Edgebands[[#This Row],[QR-Code]],"",3,100,100),"")</f>
        <v>#VALUE!</v>
      </c>
      <c r="D39" s="10" t="e" vm="40">
        <f>IF(Edgebands[[#This Row],[Thumbnail]]&lt;&gt;"",_xlfn.IMAGE(Edgebands[[#This Row],[Thumbnail]],"",3,100,100),"")</f>
        <v>#VALUE!</v>
      </c>
      <c r="E39" s="8"/>
      <c r="F39" s="8"/>
      <c r="G39" s="1"/>
      <c r="H39" s="1"/>
      <c r="I39" s="4"/>
      <c r="J39" s="1"/>
      <c r="K39" s="1"/>
      <c r="L39" s="8"/>
      <c r="M39" s="5"/>
      <c r="N39" s="4">
        <f>Edgebands[[#This Row],[Length]]*Edgebands[[#This Row],[Costs / m]]</f>
        <v>0</v>
      </c>
      <c r="O39" s="11">
        <f ca="1">DATEDIF(Edgebands[[#This Row],[Creation date]],TODAY(),"M")</f>
        <v>10</v>
      </c>
      <c r="P39" s="5"/>
      <c r="Q39" s="8"/>
      <c r="R39" s="8"/>
      <c r="S39" s="8"/>
      <c r="U39" s="1"/>
      <c r="V39"/>
      <c r="W39" s="6"/>
      <c r="Z39" s="1"/>
      <c r="AA39" s="1"/>
    </row>
    <row r="40" spans="1:27" ht="91.8" x14ac:dyDescent="0.3">
      <c r="A40" s="1"/>
      <c r="B40" s="8"/>
      <c r="C40" s="9" t="e" vm="50">
        <f>IF(Edgebands[[#This Row],[QR-Code]]&lt;&gt;"",_xlfn.IMAGE(Edgebands[[#This Row],[QR-Code]],"",3,100,100),"")</f>
        <v>#VALUE!</v>
      </c>
      <c r="D40" s="10" t="e" vm="40">
        <f>IF(Edgebands[[#This Row],[Thumbnail]]&lt;&gt;"",_xlfn.IMAGE(Edgebands[[#This Row],[Thumbnail]],"",3,100,100),"")</f>
        <v>#VALUE!</v>
      </c>
      <c r="E40" s="8"/>
      <c r="F40" s="8"/>
      <c r="G40" s="1"/>
      <c r="H40" s="1"/>
      <c r="I40" s="4"/>
      <c r="J40" s="1"/>
      <c r="K40" s="1"/>
      <c r="L40" s="8"/>
      <c r="M40" s="5"/>
      <c r="N40" s="4">
        <f>Edgebands[[#This Row],[Length]]*Edgebands[[#This Row],[Costs / m]]</f>
        <v>0</v>
      </c>
      <c r="O40" s="11">
        <f ca="1">DATEDIF(Edgebands[[#This Row],[Creation date]],TODAY(),"M")</f>
        <v>10</v>
      </c>
      <c r="P40" s="5"/>
      <c r="Q40" s="8"/>
      <c r="R40" s="8"/>
      <c r="S40" s="8"/>
      <c r="U40" s="1"/>
      <c r="V40"/>
      <c r="W40" s="6"/>
      <c r="Z40" s="1"/>
      <c r="AA40" s="1"/>
    </row>
    <row r="41" spans="1:27" ht="91.8" x14ac:dyDescent="0.3">
      <c r="B41" s="8"/>
      <c r="C41" s="9" t="e" vm="51">
        <f>IF(Edgebands[[#This Row],[QR-Code]]&lt;&gt;"",_xlfn.IMAGE(Edgebands[[#This Row],[QR-Code]],"",3,100,100),"")</f>
        <v>#VALUE!</v>
      </c>
      <c r="D41" s="10" t="str">
        <f>IF(Edgebands[[#This Row],[Thumbnail]]&lt;&gt;"",_xlfn.IMAGE(Edgebands[[#This Row],[Thumbnail]],"",3,100,100),"")</f>
        <v/>
      </c>
      <c r="E41" s="8"/>
      <c r="F41" s="8"/>
      <c r="G41" s="1"/>
      <c r="H41" s="1"/>
      <c r="I41" s="4"/>
      <c r="J41" s="1"/>
      <c r="K41" s="1"/>
      <c r="L41" s="8"/>
      <c r="M41" s="5"/>
      <c r="N41" s="4">
        <f>Edgebands[[#This Row],[Length]]*Edgebands[[#This Row],[Costs / m]]</f>
        <v>0</v>
      </c>
      <c r="O41" s="11">
        <f ca="1">DATEDIF(Edgebands[[#This Row],[Creation date]],TODAY(),"M")</f>
        <v>9</v>
      </c>
      <c r="P41" s="5"/>
      <c r="Q41" s="8"/>
      <c r="R41" s="8"/>
      <c r="S41" s="8"/>
      <c r="U41" s="1"/>
      <c r="V41"/>
      <c r="W41" s="6"/>
      <c r="Z41" s="1"/>
      <c r="AA41" s="1"/>
    </row>
    <row r="42" spans="1:27" ht="91.8" x14ac:dyDescent="0.3">
      <c r="B42" s="8"/>
      <c r="C42" s="9" t="e" vm="52">
        <f>IF(Edgebands[[#This Row],[QR-Code]]&lt;&gt;"",_xlfn.IMAGE(Edgebands[[#This Row],[QR-Code]],"",3,100,100),"")</f>
        <v>#VALUE!</v>
      </c>
      <c r="D42" s="10" t="str">
        <f>IF(Edgebands[[#This Row],[Thumbnail]]&lt;&gt;"",_xlfn.IMAGE(Edgebands[[#This Row],[Thumbnail]],"",3,100,100),"")</f>
        <v/>
      </c>
      <c r="E42" s="8"/>
      <c r="F42" s="8"/>
      <c r="G42" s="1"/>
      <c r="H42" s="1"/>
      <c r="I42" s="4"/>
      <c r="J42" s="1"/>
      <c r="K42" s="1"/>
      <c r="L42" s="8"/>
      <c r="M42" s="5"/>
      <c r="N42" s="4">
        <f>Edgebands[[#This Row],[Length]]*Edgebands[[#This Row],[Costs / m]]</f>
        <v>0</v>
      </c>
      <c r="O42" s="11">
        <f ca="1">DATEDIF(Edgebands[[#This Row],[Creation date]],TODAY(),"M")</f>
        <v>9</v>
      </c>
      <c r="P42" s="5"/>
      <c r="Q42" s="8"/>
      <c r="R42" s="8"/>
      <c r="S42" s="8"/>
      <c r="U42" s="1"/>
      <c r="V42"/>
      <c r="W42" s="6"/>
      <c r="Z42" s="1"/>
      <c r="AA42" s="1"/>
    </row>
    <row r="43" spans="1:27" ht="91.8" x14ac:dyDescent="0.3">
      <c r="B43" s="8"/>
      <c r="C43" s="9" t="e" vm="53">
        <f>IF(Edgebands[[#This Row],[QR-Code]]&lt;&gt;"",_xlfn.IMAGE(Edgebands[[#This Row],[QR-Code]],"",3,100,100),"")</f>
        <v>#VALUE!</v>
      </c>
      <c r="D43" s="10" t="str">
        <f>IF(Edgebands[[#This Row],[Thumbnail]]&lt;&gt;"",_xlfn.IMAGE(Edgebands[[#This Row],[Thumbnail]],"",3,100,100),"")</f>
        <v/>
      </c>
      <c r="E43" s="8"/>
      <c r="F43" s="8"/>
      <c r="G43" s="1"/>
      <c r="H43" s="1"/>
      <c r="I43" s="4"/>
      <c r="J43" s="1"/>
      <c r="K43" s="1"/>
      <c r="L43" s="8"/>
      <c r="M43" s="5"/>
      <c r="N43" s="4">
        <f>Edgebands[[#This Row],[Length]]*Edgebands[[#This Row],[Costs / m]]</f>
        <v>0</v>
      </c>
      <c r="O43" s="11">
        <f ca="1">DATEDIF(Edgebands[[#This Row],[Creation date]],TODAY(),"M")</f>
        <v>9</v>
      </c>
      <c r="P43" s="5"/>
      <c r="Q43" s="8"/>
      <c r="R43" s="8"/>
      <c r="S43" s="8"/>
      <c r="U43" s="1"/>
      <c r="V43"/>
      <c r="W43" s="6"/>
      <c r="Z43" s="1"/>
      <c r="AA43" s="1"/>
    </row>
    <row r="44" spans="1:27" ht="91.8" x14ac:dyDescent="0.3">
      <c r="B44" s="8"/>
      <c r="C44" s="9" t="e" vm="54">
        <f>IF(Edgebands[[#This Row],[QR-Code]]&lt;&gt;"",_xlfn.IMAGE(Edgebands[[#This Row],[QR-Code]],"",3,100,100),"")</f>
        <v>#VALUE!</v>
      </c>
      <c r="D44" s="10" t="str">
        <f>IF(Edgebands[[#This Row],[Thumbnail]]&lt;&gt;"",_xlfn.IMAGE(Edgebands[[#This Row],[Thumbnail]],"",3,100,100),"")</f>
        <v/>
      </c>
      <c r="E44" s="8"/>
      <c r="F44" s="8"/>
      <c r="G44" s="1"/>
      <c r="H44" s="1"/>
      <c r="I44" s="4"/>
      <c r="J44" s="1"/>
      <c r="K44" s="1"/>
      <c r="L44" s="8"/>
      <c r="M44" s="5"/>
      <c r="N44" s="4">
        <f>Edgebands[[#This Row],[Length]]*Edgebands[[#This Row],[Costs / m]]</f>
        <v>0</v>
      </c>
      <c r="O44" s="11">
        <f ca="1">DATEDIF(Edgebands[[#This Row],[Creation date]],TODAY(),"M")</f>
        <v>9</v>
      </c>
      <c r="P44" s="5"/>
      <c r="Q44" s="8"/>
      <c r="R44" s="8"/>
      <c r="S44" s="8"/>
      <c r="U44" s="1"/>
      <c r="V44"/>
      <c r="W44" s="6"/>
      <c r="Z44" s="1"/>
      <c r="AA44" s="1"/>
    </row>
    <row r="45" spans="1:27" ht="91.8" x14ac:dyDescent="0.3">
      <c r="B45" s="8"/>
      <c r="C45" s="9" t="e" vm="55">
        <f>IF(Edgebands[[#This Row],[QR-Code]]&lt;&gt;"",_xlfn.IMAGE(Edgebands[[#This Row],[QR-Code]],"",3,100,100),"")</f>
        <v>#VALUE!</v>
      </c>
      <c r="D45" s="10" t="str">
        <f>IF(Edgebands[[#This Row],[Thumbnail]]&lt;&gt;"",_xlfn.IMAGE(Edgebands[[#This Row],[Thumbnail]],"",3,100,100),"")</f>
        <v/>
      </c>
      <c r="E45" s="8"/>
      <c r="F45" s="8"/>
      <c r="G45" s="1"/>
      <c r="H45" s="1"/>
      <c r="I45" s="4"/>
      <c r="J45" s="1"/>
      <c r="K45" s="1"/>
      <c r="L45" s="8"/>
      <c r="M45" s="5"/>
      <c r="N45" s="4">
        <f>Edgebands[[#This Row],[Length]]*Edgebands[[#This Row],[Costs / m]]</f>
        <v>0</v>
      </c>
      <c r="O45" s="11">
        <f ca="1">DATEDIF(Edgebands[[#This Row],[Creation date]],TODAY(),"M")</f>
        <v>9</v>
      </c>
      <c r="P45" s="5"/>
      <c r="Q45" s="8"/>
      <c r="R45" s="8"/>
      <c r="S45" s="8"/>
      <c r="U45" s="1"/>
      <c r="V45"/>
      <c r="W45" s="6"/>
      <c r="Z45" s="1"/>
      <c r="AA45" s="1"/>
    </row>
    <row r="46" spans="1:27" ht="91.8" x14ac:dyDescent="0.3">
      <c r="B46" s="8"/>
      <c r="C46" s="9" t="e" vm="56">
        <f>IF(Edgebands[[#This Row],[QR-Code]]&lt;&gt;"",_xlfn.IMAGE(Edgebands[[#This Row],[QR-Code]],"",3,100,100),"")</f>
        <v>#VALUE!</v>
      </c>
      <c r="D46" s="10" t="str">
        <f>IF(Edgebands[[#This Row],[Thumbnail]]&lt;&gt;"",_xlfn.IMAGE(Edgebands[[#This Row],[Thumbnail]],"",3,100,100),"")</f>
        <v/>
      </c>
      <c r="E46" s="8"/>
      <c r="F46" s="8"/>
      <c r="G46" s="1"/>
      <c r="H46" s="1"/>
      <c r="I46" s="4"/>
      <c r="J46" s="1"/>
      <c r="K46" s="1"/>
      <c r="L46" s="8"/>
      <c r="M46" s="5"/>
      <c r="N46" s="4">
        <f>Edgebands[[#This Row],[Length]]*Edgebands[[#This Row],[Costs / m]]</f>
        <v>0</v>
      </c>
      <c r="O46" s="11">
        <f ca="1">DATEDIF(Edgebands[[#This Row],[Creation date]],TODAY(),"M")</f>
        <v>9</v>
      </c>
      <c r="P46" s="5"/>
      <c r="Q46" s="8"/>
      <c r="R46" s="8"/>
      <c r="S46" s="8"/>
      <c r="U46" s="1"/>
      <c r="V46"/>
      <c r="W46" s="6"/>
      <c r="Z46" s="1"/>
      <c r="AA46" s="1"/>
    </row>
    <row r="47" spans="1:27" ht="91.8" x14ac:dyDescent="0.3">
      <c r="B47" s="8"/>
      <c r="C47" s="9" t="e" vm="57">
        <f>IF(Edgebands[[#This Row],[QR-Code]]&lt;&gt;"",_xlfn.IMAGE(Edgebands[[#This Row],[QR-Code]],"",3,100,100),"")</f>
        <v>#VALUE!</v>
      </c>
      <c r="D47" s="10" t="str">
        <f>IF(Edgebands[[#This Row],[Thumbnail]]&lt;&gt;"",_xlfn.IMAGE(Edgebands[[#This Row],[Thumbnail]],"",3,100,100),"")</f>
        <v/>
      </c>
      <c r="E47" s="8"/>
      <c r="F47" s="8"/>
      <c r="G47" s="1"/>
      <c r="H47" s="1"/>
      <c r="I47" s="4"/>
      <c r="J47" s="1"/>
      <c r="K47" s="1"/>
      <c r="L47" s="8"/>
      <c r="M47" s="5"/>
      <c r="N47" s="4">
        <f>Edgebands[[#This Row],[Length]]*Edgebands[[#This Row],[Costs / m]]</f>
        <v>0</v>
      </c>
      <c r="O47" s="11">
        <f ca="1">DATEDIF(Edgebands[[#This Row],[Creation date]],TODAY(),"M")</f>
        <v>9</v>
      </c>
      <c r="P47" s="5"/>
      <c r="Q47" s="8"/>
      <c r="R47" s="8"/>
      <c r="S47" s="8"/>
      <c r="U47" s="1"/>
      <c r="V47"/>
      <c r="W47" s="6"/>
      <c r="Z47" s="1"/>
      <c r="AA47" s="1"/>
    </row>
    <row r="48" spans="1:27" ht="91.8" x14ac:dyDescent="0.3">
      <c r="B48" s="8"/>
      <c r="C48" s="9" t="e" vm="58">
        <f>IF(Edgebands[[#This Row],[QR-Code]]&lt;&gt;"",_xlfn.IMAGE(Edgebands[[#This Row],[QR-Code]],"",3,100,100),"")</f>
        <v>#VALUE!</v>
      </c>
      <c r="D48" s="10" t="str">
        <f>IF(Edgebands[[#This Row],[Thumbnail]]&lt;&gt;"",_xlfn.IMAGE(Edgebands[[#This Row],[Thumbnail]],"",3,100,100),"")</f>
        <v/>
      </c>
      <c r="E48" s="8"/>
      <c r="F48" s="8"/>
      <c r="G48" s="1"/>
      <c r="H48" s="1"/>
      <c r="I48" s="4"/>
      <c r="J48" s="1"/>
      <c r="K48" s="1"/>
      <c r="L48" s="8"/>
      <c r="M48" s="5"/>
      <c r="N48" s="4">
        <f>Edgebands[[#This Row],[Length]]*Edgebands[[#This Row],[Costs / m]]</f>
        <v>0</v>
      </c>
      <c r="O48" s="11">
        <f ca="1">DATEDIF(Edgebands[[#This Row],[Creation date]],TODAY(),"M")</f>
        <v>9</v>
      </c>
      <c r="P48" s="5"/>
      <c r="Q48" s="8"/>
      <c r="R48" s="8"/>
      <c r="S48" s="8"/>
      <c r="U48" s="1"/>
      <c r="V48"/>
      <c r="W48" s="6"/>
      <c r="Z48" s="1"/>
      <c r="AA48" s="1"/>
    </row>
    <row r="49" spans="1:27" ht="91.8" x14ac:dyDescent="0.3">
      <c r="B49" s="8"/>
      <c r="C49" s="9" t="e" vm="59">
        <f>IF(Edgebands[[#This Row],[QR-Code]]&lt;&gt;"",_xlfn.IMAGE(Edgebands[[#This Row],[QR-Code]],"",3,100,100),"")</f>
        <v>#VALUE!</v>
      </c>
      <c r="D49" s="10" t="str">
        <f>IF(Edgebands[[#This Row],[Thumbnail]]&lt;&gt;"",_xlfn.IMAGE(Edgebands[[#This Row],[Thumbnail]],"",3,100,100),"")</f>
        <v/>
      </c>
      <c r="E49" s="8"/>
      <c r="F49" s="8"/>
      <c r="G49" s="1"/>
      <c r="H49" s="1"/>
      <c r="I49" s="4"/>
      <c r="J49" s="1"/>
      <c r="K49" s="1"/>
      <c r="L49" s="8"/>
      <c r="M49" s="5"/>
      <c r="N49" s="4">
        <f>Edgebands[[#This Row],[Length]]*Edgebands[[#This Row],[Costs / m]]</f>
        <v>0</v>
      </c>
      <c r="O49" s="11">
        <f ca="1">DATEDIF(Edgebands[[#This Row],[Creation date]],TODAY(),"M")</f>
        <v>8</v>
      </c>
      <c r="P49" s="5"/>
      <c r="Q49" s="8"/>
      <c r="R49" s="8"/>
      <c r="S49" s="8"/>
      <c r="U49" s="1"/>
      <c r="V49"/>
      <c r="W49" s="6"/>
      <c r="Z49" s="1"/>
      <c r="AA49" s="1"/>
    </row>
    <row r="50" spans="1:27" ht="91.8" x14ac:dyDescent="0.3">
      <c r="A50" s="1"/>
      <c r="B50" s="8"/>
      <c r="C50" s="9" t="e" vm="60">
        <f>IF(Edgebands[[#This Row],[QR-Code]]&lt;&gt;"",_xlfn.IMAGE(Edgebands[[#This Row],[QR-Code]],"",3,100,100),"")</f>
        <v>#VALUE!</v>
      </c>
      <c r="D50" s="10" t="e" vm="61">
        <f>IF(Edgebands[[#This Row],[Thumbnail]]&lt;&gt;"",_xlfn.IMAGE(Edgebands[[#This Row],[Thumbnail]],"",3,100,100),"")</f>
        <v>#VALUE!</v>
      </c>
      <c r="E50" s="8"/>
      <c r="F50" s="8"/>
      <c r="G50" s="1"/>
      <c r="H50" s="1"/>
      <c r="I50" s="4"/>
      <c r="J50" s="1"/>
      <c r="K50" s="1"/>
      <c r="L50" s="8"/>
      <c r="M50" s="5"/>
      <c r="N50" s="4">
        <f>Edgebands[[#This Row],[Length]]*Edgebands[[#This Row],[Costs / m]]</f>
        <v>0</v>
      </c>
      <c r="O50" s="11">
        <f ca="1">DATEDIF(Edgebands[[#This Row],[Creation date]],TODAY(),"M")</f>
        <v>5</v>
      </c>
      <c r="P50" s="5"/>
      <c r="Q50" s="8"/>
      <c r="R50" s="8"/>
      <c r="S50" s="8"/>
      <c r="U50" s="1"/>
      <c r="V50"/>
      <c r="W50" s="6"/>
      <c r="Z50" s="1"/>
      <c r="AA50" s="1"/>
    </row>
    <row r="51" spans="1:27" ht="91.8" x14ac:dyDescent="0.3">
      <c r="A51" s="1"/>
      <c r="B51" s="8"/>
      <c r="C51" s="9" t="e" vm="62">
        <f>IF(Edgebands[[#This Row],[QR-Code]]&lt;&gt;"",_xlfn.IMAGE(Edgebands[[#This Row],[QR-Code]],"",3,100,100),"")</f>
        <v>#VALUE!</v>
      </c>
      <c r="D51" s="10" t="e" vm="63">
        <f>IF(Edgebands[[#This Row],[Thumbnail]]&lt;&gt;"",_xlfn.IMAGE(Edgebands[[#This Row],[Thumbnail]],"",3,100,100),"")</f>
        <v>#VALUE!</v>
      </c>
      <c r="E51" s="8"/>
      <c r="F51" s="8"/>
      <c r="G51" s="1"/>
      <c r="H51" s="1"/>
      <c r="I51" s="4"/>
      <c r="J51" s="1"/>
      <c r="K51" s="1"/>
      <c r="L51" s="8"/>
      <c r="M51" s="5"/>
      <c r="N51" s="4">
        <f>Edgebands[[#This Row],[Length]]*Edgebands[[#This Row],[Costs / m]]</f>
        <v>0</v>
      </c>
      <c r="O51" s="11">
        <f ca="1">DATEDIF(Edgebands[[#This Row],[Creation date]],TODAY(),"M")</f>
        <v>5</v>
      </c>
      <c r="P51" s="5"/>
      <c r="Q51" s="8"/>
      <c r="R51" s="8"/>
      <c r="S51" s="8"/>
      <c r="U51" s="1"/>
      <c r="V51"/>
      <c r="W51" s="6"/>
      <c r="Z51" s="1"/>
      <c r="AA51" s="1"/>
    </row>
    <row r="52" spans="1:27" ht="91.8" x14ac:dyDescent="0.3">
      <c r="A52" s="1"/>
      <c r="B52" s="8"/>
      <c r="C52" s="9" t="e" vm="64">
        <f>IF(Edgebands[[#This Row],[QR-Code]]&lt;&gt;"",_xlfn.IMAGE(Edgebands[[#This Row],[QR-Code]],"",3,100,100),"")</f>
        <v>#VALUE!</v>
      </c>
      <c r="D52" s="10" t="e" vm="63">
        <f>IF(Edgebands[[#This Row],[Thumbnail]]&lt;&gt;"",_xlfn.IMAGE(Edgebands[[#This Row],[Thumbnail]],"",3,100,100),"")</f>
        <v>#VALUE!</v>
      </c>
      <c r="E52" s="8"/>
      <c r="F52" s="8"/>
      <c r="G52" s="1"/>
      <c r="H52" s="1"/>
      <c r="I52" s="4"/>
      <c r="J52" s="1"/>
      <c r="K52" s="1"/>
      <c r="L52" s="8"/>
      <c r="M52" s="5"/>
      <c r="N52" s="4">
        <f>Edgebands[[#This Row],[Length]]*Edgebands[[#This Row],[Costs / m]]</f>
        <v>0</v>
      </c>
      <c r="O52" s="11">
        <f ca="1">DATEDIF(Edgebands[[#This Row],[Creation date]],TODAY(),"M")</f>
        <v>5</v>
      </c>
      <c r="P52" s="5"/>
      <c r="Q52" s="8"/>
      <c r="R52" s="8"/>
      <c r="S52" s="8"/>
      <c r="U52" s="1"/>
      <c r="V52"/>
      <c r="W52" s="6"/>
      <c r="Z52" s="1"/>
      <c r="AA52" s="1"/>
    </row>
    <row r="53" spans="1:27" ht="91.8" x14ac:dyDescent="0.3">
      <c r="A53" s="1"/>
      <c r="B53" s="8"/>
      <c r="C53" s="9" t="e" vm="65">
        <f>IF(Edgebands[[#This Row],[QR-Code]]&lt;&gt;"",_xlfn.IMAGE(Edgebands[[#This Row],[QR-Code]],"",3,100,100),"")</f>
        <v>#VALUE!</v>
      </c>
      <c r="D53" s="10" t="e" vm="63">
        <f>IF(Edgebands[[#This Row],[Thumbnail]]&lt;&gt;"",_xlfn.IMAGE(Edgebands[[#This Row],[Thumbnail]],"",3,100,100),"")</f>
        <v>#VALUE!</v>
      </c>
      <c r="E53" s="8"/>
      <c r="F53" s="8"/>
      <c r="G53" s="1"/>
      <c r="H53" s="1"/>
      <c r="I53" s="4"/>
      <c r="J53" s="1"/>
      <c r="K53" s="1"/>
      <c r="L53" s="8"/>
      <c r="M53" s="5"/>
      <c r="N53" s="4">
        <f>Edgebands[[#This Row],[Length]]*Edgebands[[#This Row],[Costs / m]]</f>
        <v>0</v>
      </c>
      <c r="O53" s="11">
        <f ca="1">DATEDIF(Edgebands[[#This Row],[Creation date]],TODAY(),"M")</f>
        <v>5</v>
      </c>
      <c r="P53" s="5"/>
      <c r="Q53" s="8"/>
      <c r="R53" s="8"/>
      <c r="S53" s="8"/>
      <c r="U53" s="1"/>
      <c r="V53"/>
      <c r="W53" s="6"/>
      <c r="Z53" s="1"/>
      <c r="AA53" s="1"/>
    </row>
    <row r="54" spans="1:27" ht="91.8" x14ac:dyDescent="0.3">
      <c r="A54" s="1"/>
      <c r="B54" s="8"/>
      <c r="C54" s="9" t="e" vm="66">
        <f>IF(Edgebands[[#This Row],[QR-Code]]&lt;&gt;"",_xlfn.IMAGE(Edgebands[[#This Row],[QR-Code]],"",3,100,100),"")</f>
        <v>#VALUE!</v>
      </c>
      <c r="D54" s="10" t="e" vm="63">
        <f>IF(Edgebands[[#This Row],[Thumbnail]]&lt;&gt;"",_xlfn.IMAGE(Edgebands[[#This Row],[Thumbnail]],"",3,100,100),"")</f>
        <v>#VALUE!</v>
      </c>
      <c r="E54" s="8"/>
      <c r="F54" s="8"/>
      <c r="G54" s="1"/>
      <c r="H54" s="1"/>
      <c r="I54" s="4"/>
      <c r="J54" s="1"/>
      <c r="K54" s="1"/>
      <c r="L54" s="8"/>
      <c r="M54" s="5"/>
      <c r="N54" s="4">
        <f>Edgebands[[#This Row],[Length]]*Edgebands[[#This Row],[Costs / m]]</f>
        <v>0</v>
      </c>
      <c r="O54" s="11">
        <f ca="1">DATEDIF(Edgebands[[#This Row],[Creation date]],TODAY(),"M")</f>
        <v>5</v>
      </c>
      <c r="P54" s="5"/>
      <c r="Q54" s="8"/>
      <c r="R54" s="8"/>
      <c r="S54" s="8"/>
      <c r="U54" s="1"/>
      <c r="V54"/>
      <c r="W54" s="6"/>
      <c r="Z54" s="1"/>
      <c r="AA54" s="1"/>
    </row>
    <row r="55" spans="1:27" ht="91.8" x14ac:dyDescent="0.3">
      <c r="A55" s="1"/>
      <c r="B55" s="8"/>
      <c r="C55" s="9" t="e" vm="67">
        <f>IF(Edgebands[[#This Row],[QR-Code]]&lt;&gt;"",_xlfn.IMAGE(Edgebands[[#This Row],[QR-Code]],"",3,100,100),"")</f>
        <v>#VALUE!</v>
      </c>
      <c r="D55" s="10" t="e" vm="63">
        <f>IF(Edgebands[[#This Row],[Thumbnail]]&lt;&gt;"",_xlfn.IMAGE(Edgebands[[#This Row],[Thumbnail]],"",3,100,100),"")</f>
        <v>#VALUE!</v>
      </c>
      <c r="E55" s="8"/>
      <c r="F55" s="8"/>
      <c r="G55" s="1"/>
      <c r="H55" s="1"/>
      <c r="I55" s="4"/>
      <c r="J55" s="1"/>
      <c r="K55" s="1"/>
      <c r="L55" s="8"/>
      <c r="M55" s="5"/>
      <c r="N55" s="4">
        <f>Edgebands[[#This Row],[Length]]*Edgebands[[#This Row],[Costs / m]]</f>
        <v>0</v>
      </c>
      <c r="O55" s="11">
        <f ca="1">DATEDIF(Edgebands[[#This Row],[Creation date]],TODAY(),"M")</f>
        <v>5</v>
      </c>
      <c r="P55" s="5"/>
      <c r="Q55" s="8"/>
      <c r="R55" s="8"/>
      <c r="S55" s="8"/>
      <c r="U55" s="1"/>
      <c r="V55"/>
      <c r="W55" s="6"/>
      <c r="Z55" s="1"/>
      <c r="AA55" s="1"/>
    </row>
    <row r="56" spans="1:27" ht="91.8" x14ac:dyDescent="0.3">
      <c r="A56" s="1"/>
      <c r="B56" s="8"/>
      <c r="C56" s="9" t="e" vm="68">
        <f>IF(Edgebands[[#This Row],[QR-Code]]&lt;&gt;"",_xlfn.IMAGE(Edgebands[[#This Row],[QR-Code]],"",3,100,100),"")</f>
        <v>#VALUE!</v>
      </c>
      <c r="D56" s="10" t="e" vm="38">
        <f>IF(Edgebands[[#This Row],[Thumbnail]]&lt;&gt;"",_xlfn.IMAGE(Edgebands[[#This Row],[Thumbnail]],"",3,100,100),"")</f>
        <v>#VALUE!</v>
      </c>
      <c r="E56" s="8"/>
      <c r="F56" s="8"/>
      <c r="G56" s="1"/>
      <c r="H56" s="1"/>
      <c r="I56" s="4"/>
      <c r="J56" s="1"/>
      <c r="K56" s="1"/>
      <c r="L56" s="8"/>
      <c r="M56" s="5"/>
      <c r="N56" s="4">
        <f>Edgebands[[#This Row],[Length]]*Edgebands[[#This Row],[Costs / m]]</f>
        <v>0</v>
      </c>
      <c r="O56" s="11">
        <f ca="1">DATEDIF(Edgebands[[#This Row],[Creation date]],TODAY(),"M")</f>
        <v>4</v>
      </c>
      <c r="P56" s="5"/>
      <c r="Q56" s="8"/>
      <c r="R56" s="8"/>
      <c r="S56" s="8"/>
      <c r="U56" s="1"/>
      <c r="V56"/>
      <c r="W56" s="6"/>
      <c r="Z56" s="1"/>
      <c r="AA56" s="1"/>
    </row>
    <row r="57" spans="1:27" ht="91.8" x14ac:dyDescent="0.3">
      <c r="A57" s="1"/>
      <c r="B57" s="8"/>
      <c r="C57" s="9" t="e" vm="69">
        <f>IF(Edgebands[[#This Row],[QR-Code]]&lt;&gt;"",_xlfn.IMAGE(Edgebands[[#This Row],[QR-Code]],"",3,100,100),"")</f>
        <v>#VALUE!</v>
      </c>
      <c r="D57" s="10" t="e" vm="38">
        <f>IF(Edgebands[[#This Row],[Thumbnail]]&lt;&gt;"",_xlfn.IMAGE(Edgebands[[#This Row],[Thumbnail]],"",3,100,100),"")</f>
        <v>#VALUE!</v>
      </c>
      <c r="E57" s="8"/>
      <c r="F57" s="8"/>
      <c r="G57" s="1"/>
      <c r="H57" s="1"/>
      <c r="I57" s="4"/>
      <c r="J57" s="1"/>
      <c r="K57" s="1"/>
      <c r="L57" s="8"/>
      <c r="M57" s="5"/>
      <c r="N57" s="4">
        <f>Edgebands[[#This Row],[Length]]*Edgebands[[#This Row],[Costs / m]]</f>
        <v>0</v>
      </c>
      <c r="O57" s="11">
        <f ca="1">DATEDIF(Edgebands[[#This Row],[Creation date]],TODAY(),"M")</f>
        <v>4</v>
      </c>
      <c r="P57" s="5"/>
      <c r="Q57" s="8"/>
      <c r="R57" s="8"/>
      <c r="S57" s="8"/>
      <c r="U57" s="1"/>
      <c r="V57"/>
      <c r="W57" s="6"/>
      <c r="Z57" s="1"/>
      <c r="AA57" s="1"/>
    </row>
    <row r="58" spans="1:27" ht="91.8" x14ac:dyDescent="0.3">
      <c r="A58" s="1"/>
      <c r="B58" s="8"/>
      <c r="C58" s="9" t="e" vm="70">
        <f>IF(Edgebands[[#This Row],[QR-Code]]&lt;&gt;"",_xlfn.IMAGE(Edgebands[[#This Row],[QR-Code]],"",3,100,100),"")</f>
        <v>#VALUE!</v>
      </c>
      <c r="D58" s="10" t="e" vm="38">
        <f>IF(Edgebands[[#This Row],[Thumbnail]]&lt;&gt;"",_xlfn.IMAGE(Edgebands[[#This Row],[Thumbnail]],"",3,100,100),"")</f>
        <v>#VALUE!</v>
      </c>
      <c r="E58" s="8"/>
      <c r="F58" s="8"/>
      <c r="G58" s="1"/>
      <c r="H58" s="1"/>
      <c r="I58" s="4"/>
      <c r="J58" s="1"/>
      <c r="K58" s="1"/>
      <c r="L58" s="8"/>
      <c r="M58" s="5"/>
      <c r="N58" s="4">
        <f>Edgebands[[#This Row],[Length]]*Edgebands[[#This Row],[Costs / m]]</f>
        <v>0</v>
      </c>
      <c r="O58" s="11">
        <f ca="1">DATEDIF(Edgebands[[#This Row],[Creation date]],TODAY(),"M")</f>
        <v>4</v>
      </c>
      <c r="P58" s="5"/>
      <c r="Q58" s="8"/>
      <c r="R58" s="8"/>
      <c r="S58" s="8"/>
      <c r="U58" s="1"/>
      <c r="V58"/>
      <c r="W58" s="6"/>
      <c r="Z58" s="1"/>
      <c r="AA58" s="1"/>
    </row>
    <row r="59" spans="1:27" ht="91.8" x14ac:dyDescent="0.3">
      <c r="B59" s="8"/>
      <c r="C59" s="9" t="e" vm="71">
        <f>IF(Edgebands[[#This Row],[QR-Code]]&lt;&gt;"",_xlfn.IMAGE(Edgebands[[#This Row],[QR-Code]],"",3,100,100),"")</f>
        <v>#VALUE!</v>
      </c>
      <c r="D59" s="10" t="str">
        <f>IF(Edgebands[[#This Row],[Thumbnail]]&lt;&gt;"",_xlfn.IMAGE(Edgebands[[#This Row],[Thumbnail]],"",3,100,100),"")</f>
        <v/>
      </c>
      <c r="E59" s="8"/>
      <c r="F59" s="8"/>
      <c r="G59" s="1"/>
      <c r="H59" s="1"/>
      <c r="I59" s="4"/>
      <c r="J59" s="1"/>
      <c r="K59" s="1"/>
      <c r="L59" s="8"/>
      <c r="M59" s="5"/>
      <c r="N59" s="4">
        <f>Edgebands[[#This Row],[Length]]*Edgebands[[#This Row],[Costs / m]]</f>
        <v>275</v>
      </c>
      <c r="O59" s="11">
        <f ca="1">DATEDIF(Edgebands[[#This Row],[Creation date]],TODAY(),"M")</f>
        <v>0</v>
      </c>
      <c r="P59" s="5"/>
      <c r="Q59" s="8"/>
      <c r="R59" s="8"/>
      <c r="S59" s="8"/>
      <c r="U59" s="1"/>
      <c r="V59"/>
      <c r="W59" s="6"/>
      <c r="Z59" s="1"/>
      <c r="AA59" s="1"/>
    </row>
    <row r="60" spans="1:27" ht="91.8" x14ac:dyDescent="0.3">
      <c r="B60" s="8"/>
      <c r="C60" s="9" t="e" vm="72">
        <f>IF(Edgebands[[#This Row],[QR-Code]]&lt;&gt;"",_xlfn.IMAGE(Edgebands[[#This Row],[QR-Code]],"",3,100,100),"")</f>
        <v>#VALUE!</v>
      </c>
      <c r="D60" s="10" t="str">
        <f>IF(Edgebands[[#This Row],[Thumbnail]]&lt;&gt;"",_xlfn.IMAGE(Edgebands[[#This Row],[Thumbnail]],"",3,100,100),"")</f>
        <v/>
      </c>
      <c r="E60" s="8"/>
      <c r="F60" s="8"/>
      <c r="G60" s="1"/>
      <c r="H60" s="1"/>
      <c r="I60" s="4"/>
      <c r="J60" s="1"/>
      <c r="K60" s="1"/>
      <c r="L60" s="8"/>
      <c r="M60" s="5"/>
      <c r="N60" s="4">
        <f>Edgebands[[#This Row],[Length]]*Edgebands[[#This Row],[Costs / m]]</f>
        <v>275</v>
      </c>
      <c r="O60" s="11">
        <f ca="1">DATEDIF(Edgebands[[#This Row],[Creation date]],TODAY(),"M")</f>
        <v>0</v>
      </c>
      <c r="P60" s="5"/>
      <c r="Q60" s="8"/>
      <c r="R60" s="8"/>
      <c r="S60" s="8"/>
      <c r="U60" s="1"/>
      <c r="V60"/>
      <c r="W60" s="6"/>
      <c r="Z60" s="1"/>
      <c r="AA60" s="1"/>
    </row>
    <row r="61" spans="1:27" ht="91.8" x14ac:dyDescent="0.3">
      <c r="B61" s="8"/>
      <c r="C61" s="9" t="e" vm="73">
        <f>IF(Edgebands[[#This Row],[QR-Code]]&lt;&gt;"",_xlfn.IMAGE(Edgebands[[#This Row],[QR-Code]],"",3,100,100),"")</f>
        <v>#VALUE!</v>
      </c>
      <c r="D61" s="10" t="str">
        <f>IF(Edgebands[[#This Row],[Thumbnail]]&lt;&gt;"",_xlfn.IMAGE(Edgebands[[#This Row],[Thumbnail]],"",3,100,100),"")</f>
        <v/>
      </c>
      <c r="E61" s="8"/>
      <c r="F61" s="8"/>
      <c r="G61" s="1"/>
      <c r="H61" s="1"/>
      <c r="I61" s="4"/>
      <c r="J61" s="1"/>
      <c r="K61" s="1"/>
      <c r="L61" s="8"/>
      <c r="M61" s="5"/>
      <c r="N61" s="4">
        <f>Edgebands[[#This Row],[Length]]*Edgebands[[#This Row],[Costs / m]]</f>
        <v>275</v>
      </c>
      <c r="O61" s="11">
        <f ca="1">DATEDIF(Edgebands[[#This Row],[Creation date]],TODAY(),"M")</f>
        <v>0</v>
      </c>
      <c r="P61" s="5"/>
      <c r="Q61" s="8"/>
      <c r="R61" s="8"/>
      <c r="S61" s="8"/>
      <c r="U61" s="1"/>
      <c r="V61"/>
      <c r="W61" s="6"/>
      <c r="Z61" s="1"/>
      <c r="AA61" s="1"/>
    </row>
    <row r="62" spans="1:27" ht="91.8" x14ac:dyDescent="0.3">
      <c r="A62" s="1"/>
      <c r="B62" s="8"/>
      <c r="C62" s="9" t="e" vm="74">
        <f>IF(Edgebands[[#This Row],[QR-Code]]&lt;&gt;"",_xlfn.IMAGE(Edgebands[[#This Row],[QR-Code]],"",3,100,100),"")</f>
        <v>#VALUE!</v>
      </c>
      <c r="D62" s="10" t="e" vm="5">
        <f>IF(Edgebands[[#This Row],[Thumbnail]]&lt;&gt;"",_xlfn.IMAGE(Edgebands[[#This Row],[Thumbnail]],"",3,100,100),"")</f>
        <v>#VALUE!</v>
      </c>
      <c r="E62" s="8"/>
      <c r="F62" s="8"/>
      <c r="G62" s="1"/>
      <c r="H62" s="1"/>
      <c r="I62" s="4"/>
      <c r="J62" s="1"/>
      <c r="K62" s="1"/>
      <c r="L62" s="8"/>
      <c r="M62" s="5"/>
      <c r="N62" s="4">
        <f>Edgebands[[#This Row],[Length]]*Edgebands[[#This Row],[Costs / m]]</f>
        <v>324.16919999999999</v>
      </c>
      <c r="O62" s="11">
        <f ca="1">DATEDIF(Edgebands[[#This Row],[Creation date]],TODAY(),"M")</f>
        <v>19</v>
      </c>
      <c r="P62" s="5"/>
      <c r="Q62" s="8"/>
      <c r="R62" s="8"/>
      <c r="S62" s="8"/>
      <c r="U62" s="1"/>
      <c r="V62"/>
      <c r="W62" s="6"/>
      <c r="Z62" s="1"/>
      <c r="AA62" s="1"/>
    </row>
    <row r="63" spans="1:27" ht="91.8" x14ac:dyDescent="0.3">
      <c r="A63" s="1"/>
      <c r="B63" s="8"/>
      <c r="C63" s="9" t="e" vm="75">
        <f>IF(Edgebands[[#This Row],[QR-Code]]&lt;&gt;"",_xlfn.IMAGE(Edgebands[[#This Row],[QR-Code]],"",3,100,100),"")</f>
        <v>#VALUE!</v>
      </c>
      <c r="D63" s="10" t="e" vm="19">
        <f>IF(Edgebands[[#This Row],[Thumbnail]]&lt;&gt;"",_xlfn.IMAGE(Edgebands[[#This Row],[Thumbnail]],"",3,100,100),"")</f>
        <v>#VALUE!</v>
      </c>
      <c r="E63" s="8"/>
      <c r="F63" s="8"/>
      <c r="G63" s="1"/>
      <c r="H63" s="1"/>
      <c r="I63" s="4"/>
      <c r="J63" s="1"/>
      <c r="K63" s="1"/>
      <c r="L63" s="8"/>
      <c r="M63" s="5"/>
      <c r="N63" s="4">
        <f>Edgebands[[#This Row],[Length]]*Edgebands[[#This Row],[Costs / m]]</f>
        <v>42.000000000000007</v>
      </c>
      <c r="O63" s="11">
        <f ca="1">DATEDIF(Edgebands[[#This Row],[Creation date]],TODAY(),"M")</f>
        <v>19</v>
      </c>
      <c r="P63" s="5"/>
      <c r="Q63" s="8"/>
      <c r="R63" s="8"/>
      <c r="S63" s="8"/>
      <c r="U63" s="1"/>
      <c r="V63"/>
      <c r="W63" s="6"/>
      <c r="Z63" s="1"/>
      <c r="AA63" s="1"/>
    </row>
    <row r="64" spans="1:27" ht="91.8" x14ac:dyDescent="0.3">
      <c r="A64" s="1"/>
      <c r="B64" s="8"/>
      <c r="C64" s="9" t="e" vm="76">
        <f>IF(Edgebands[[#This Row],[QR-Code]]&lt;&gt;"",_xlfn.IMAGE(Edgebands[[#This Row],[QR-Code]],"",3,100,100),"")</f>
        <v>#VALUE!</v>
      </c>
      <c r="D64" s="10" t="e" vm="77">
        <f>IF(Edgebands[[#This Row],[Thumbnail]]&lt;&gt;"",_xlfn.IMAGE(Edgebands[[#This Row],[Thumbnail]],"",3,100,100),"")</f>
        <v>#VALUE!</v>
      </c>
      <c r="E64" s="8"/>
      <c r="F64" s="8"/>
      <c r="G64" s="1"/>
      <c r="H64" s="1"/>
      <c r="I64" s="4"/>
      <c r="J64" s="1"/>
      <c r="K64" s="1"/>
      <c r="L64" s="8"/>
      <c r="M64" s="5"/>
      <c r="N64" s="4">
        <f>Edgebands[[#This Row],[Length]]*Edgebands[[#This Row],[Costs / m]]</f>
        <v>0</v>
      </c>
      <c r="O64" s="11">
        <f ca="1">DATEDIF(Edgebands[[#This Row],[Creation date]],TODAY(),"M")</f>
        <v>19</v>
      </c>
      <c r="P64" s="5"/>
      <c r="Q64" s="8"/>
      <c r="R64" s="8"/>
      <c r="S64" s="8"/>
      <c r="U64" s="1"/>
      <c r="V64"/>
      <c r="W64" s="6"/>
      <c r="Z64" s="1"/>
      <c r="AA64" s="1"/>
    </row>
    <row r="65" spans="1:27" ht="91.8" x14ac:dyDescent="0.3">
      <c r="A65" s="1"/>
      <c r="B65" s="8"/>
      <c r="C65" s="9" t="e" vm="78">
        <f>IF(Edgebands[[#This Row],[QR-Code]]&lt;&gt;"",_xlfn.IMAGE(Edgebands[[#This Row],[QR-Code]],"",3,100,100),"")</f>
        <v>#VALUE!</v>
      </c>
      <c r="D65" s="10" t="e" vm="79">
        <f>IF(Edgebands[[#This Row],[Thumbnail]]&lt;&gt;"",_xlfn.IMAGE(Edgebands[[#This Row],[Thumbnail]],"",3,100,100),"")</f>
        <v>#VALUE!</v>
      </c>
      <c r="E65" s="8"/>
      <c r="F65" s="8"/>
      <c r="G65" s="1"/>
      <c r="H65" s="1"/>
      <c r="I65" s="4"/>
      <c r="J65" s="1"/>
      <c r="K65" s="1"/>
      <c r="L65" s="8"/>
      <c r="M65" s="5"/>
      <c r="N65" s="4">
        <f>Edgebands[[#This Row],[Length]]*Edgebands[[#This Row],[Costs / m]]</f>
        <v>18</v>
      </c>
      <c r="O65" s="11">
        <f ca="1">DATEDIF(Edgebands[[#This Row],[Creation date]],TODAY(),"M")</f>
        <v>19</v>
      </c>
      <c r="P65" s="5"/>
      <c r="Q65" s="8"/>
      <c r="R65" s="8"/>
      <c r="S65" s="8"/>
      <c r="U65" s="1"/>
      <c r="V65"/>
      <c r="W65" s="6"/>
      <c r="Z65" s="1"/>
      <c r="AA65" s="1"/>
    </row>
    <row r="66" spans="1:27" ht="91.8" x14ac:dyDescent="0.3">
      <c r="A66" s="1"/>
      <c r="B66" s="8"/>
      <c r="C66" s="9" t="e" vm="80">
        <f>IF(Edgebands[[#This Row],[QR-Code]]&lt;&gt;"",_xlfn.IMAGE(Edgebands[[#This Row],[QR-Code]],"",3,100,100),"")</f>
        <v>#VALUE!</v>
      </c>
      <c r="D66" s="10" t="e" vm="2">
        <f>IF(Edgebands[[#This Row],[Thumbnail]]&lt;&gt;"",_xlfn.IMAGE(Edgebands[[#This Row],[Thumbnail]],"",3,100,100),"")</f>
        <v>#VALUE!</v>
      </c>
      <c r="E66" s="8"/>
      <c r="F66" s="8"/>
      <c r="G66" s="1"/>
      <c r="H66" s="1"/>
      <c r="I66" s="4"/>
      <c r="J66" s="1"/>
      <c r="K66" s="1"/>
      <c r="L66" s="8"/>
      <c r="M66" s="5"/>
      <c r="N66" s="4">
        <f>Edgebands[[#This Row],[Length]]*Edgebands[[#This Row],[Costs / m]]</f>
        <v>0</v>
      </c>
      <c r="O66" s="11">
        <f ca="1">DATEDIF(Edgebands[[#This Row],[Creation date]],TODAY(),"M")</f>
        <v>18</v>
      </c>
      <c r="P66" s="5"/>
      <c r="Q66" s="8"/>
      <c r="R66" s="8"/>
      <c r="S66" s="8"/>
      <c r="U66" s="1"/>
      <c r="V66"/>
      <c r="W66" s="6"/>
      <c r="Z66" s="1"/>
      <c r="AA66" s="1"/>
    </row>
    <row r="67" spans="1:27" ht="91.8" x14ac:dyDescent="0.3">
      <c r="A67" s="1"/>
      <c r="B67" s="8"/>
      <c r="C67" s="9" t="e" vm="81">
        <f>IF(Edgebands[[#This Row],[QR-Code]]&lt;&gt;"",_xlfn.IMAGE(Edgebands[[#This Row],[QR-Code]],"",3,100,100),"")</f>
        <v>#VALUE!</v>
      </c>
      <c r="D67" s="10" t="e" vm="2">
        <f>IF(Edgebands[[#This Row],[Thumbnail]]&lt;&gt;"",_xlfn.IMAGE(Edgebands[[#This Row],[Thumbnail]],"",3,100,100),"")</f>
        <v>#VALUE!</v>
      </c>
      <c r="E67" s="8"/>
      <c r="F67" s="8"/>
      <c r="G67" s="1"/>
      <c r="H67" s="1"/>
      <c r="I67" s="4"/>
      <c r="J67" s="1"/>
      <c r="K67" s="1"/>
      <c r="L67" s="8"/>
      <c r="M67" s="5"/>
      <c r="N67" s="4">
        <f>Edgebands[[#This Row],[Length]]*Edgebands[[#This Row],[Costs / m]]</f>
        <v>0</v>
      </c>
      <c r="O67" s="11">
        <f ca="1">DATEDIF(Edgebands[[#This Row],[Creation date]],TODAY(),"M")</f>
        <v>18</v>
      </c>
      <c r="P67" s="5"/>
      <c r="Q67" s="8"/>
      <c r="R67" s="8"/>
      <c r="S67" s="8"/>
      <c r="U67" s="1"/>
      <c r="V67"/>
      <c r="W67" s="6"/>
      <c r="Z67" s="1"/>
      <c r="AA67" s="1"/>
    </row>
    <row r="68" spans="1:27" ht="91.8" x14ac:dyDescent="0.3">
      <c r="A68" s="1"/>
      <c r="B68" s="8"/>
      <c r="C68" s="9" t="e" vm="82">
        <f>IF(Edgebands[[#This Row],[QR-Code]]&lt;&gt;"",_xlfn.IMAGE(Edgebands[[#This Row],[QR-Code]],"",3,100,100),"")</f>
        <v>#VALUE!</v>
      </c>
      <c r="D68" s="10" t="e" vm="2">
        <f>IF(Edgebands[[#This Row],[Thumbnail]]&lt;&gt;"",_xlfn.IMAGE(Edgebands[[#This Row],[Thumbnail]],"",3,100,100),"")</f>
        <v>#VALUE!</v>
      </c>
      <c r="E68" s="8"/>
      <c r="F68" s="8"/>
      <c r="G68" s="1"/>
      <c r="H68" s="1"/>
      <c r="I68" s="4"/>
      <c r="J68" s="1"/>
      <c r="K68" s="1"/>
      <c r="L68" s="8"/>
      <c r="M68" s="5"/>
      <c r="N68" s="4">
        <f>Edgebands[[#This Row],[Length]]*Edgebands[[#This Row],[Costs / m]]</f>
        <v>0</v>
      </c>
      <c r="O68" s="11">
        <f ca="1">DATEDIF(Edgebands[[#This Row],[Creation date]],TODAY(),"M")</f>
        <v>16</v>
      </c>
      <c r="P68" s="5"/>
      <c r="Q68" s="8"/>
      <c r="R68" s="8"/>
      <c r="S68" s="8"/>
      <c r="U68" s="1"/>
      <c r="V68"/>
      <c r="W68" s="6"/>
      <c r="Z68" s="1"/>
      <c r="AA68" s="1"/>
    </row>
    <row r="69" spans="1:27" ht="91.8" x14ac:dyDescent="0.3">
      <c r="A69" s="1"/>
      <c r="B69" s="8"/>
      <c r="C69" s="9" t="e" vm="83">
        <f>IF(Edgebands[[#This Row],[QR-Code]]&lt;&gt;"",_xlfn.IMAGE(Edgebands[[#This Row],[QR-Code]],"",3,100,100),"")</f>
        <v>#VALUE!</v>
      </c>
      <c r="D69" s="10" t="e" vm="84">
        <f>IF(Edgebands[[#This Row],[Thumbnail]]&lt;&gt;"",_xlfn.IMAGE(Edgebands[[#This Row],[Thumbnail]],"",3,100,100),"")</f>
        <v>#VALUE!</v>
      </c>
      <c r="E69" s="8"/>
      <c r="F69" s="8"/>
      <c r="G69" s="1"/>
      <c r="H69" s="1"/>
      <c r="I69" s="4"/>
      <c r="J69" s="1"/>
      <c r="K69" s="1"/>
      <c r="L69" s="8"/>
      <c r="M69" s="5"/>
      <c r="N69" s="4">
        <f>Edgebands[[#This Row],[Length]]*Edgebands[[#This Row],[Costs / m]]</f>
        <v>37.5</v>
      </c>
      <c r="O69" s="11">
        <f ca="1">DATEDIF(Edgebands[[#This Row],[Creation date]],TODAY(),"M")</f>
        <v>16</v>
      </c>
      <c r="P69" s="5"/>
      <c r="Q69" s="8"/>
      <c r="R69" s="8"/>
      <c r="S69" s="8"/>
      <c r="U69" s="1"/>
      <c r="V69"/>
      <c r="W69" s="6"/>
      <c r="Z69" s="1"/>
      <c r="AA69" s="1"/>
    </row>
    <row r="70" spans="1:27" ht="91.8" x14ac:dyDescent="0.3">
      <c r="A70" s="1"/>
      <c r="B70" s="8"/>
      <c r="C70" s="9" t="e" vm="85">
        <f>IF(Edgebands[[#This Row],[QR-Code]]&lt;&gt;"",_xlfn.IMAGE(Edgebands[[#This Row],[QR-Code]],"",3,100,100),"")</f>
        <v>#VALUE!</v>
      </c>
      <c r="D70" s="10" t="e" vm="38">
        <f>IF(Edgebands[[#This Row],[Thumbnail]]&lt;&gt;"",_xlfn.IMAGE(Edgebands[[#This Row],[Thumbnail]],"",3,100,100),"")</f>
        <v>#VALUE!</v>
      </c>
      <c r="E70" s="8"/>
      <c r="F70" s="8"/>
      <c r="G70" s="1"/>
      <c r="H70" s="1"/>
      <c r="I70" s="4"/>
      <c r="J70" s="1"/>
      <c r="K70" s="1"/>
      <c r="L70" s="8"/>
      <c r="M70" s="5"/>
      <c r="N70" s="4">
        <f>Edgebands[[#This Row],[Length]]*Edgebands[[#This Row],[Costs / m]]</f>
        <v>0</v>
      </c>
      <c r="O70" s="11">
        <f ca="1">DATEDIF(Edgebands[[#This Row],[Creation date]],TODAY(),"M")</f>
        <v>10</v>
      </c>
      <c r="P70" s="5"/>
      <c r="Q70" s="8"/>
      <c r="R70" s="8"/>
      <c r="S70" s="8"/>
      <c r="U70" s="1"/>
      <c r="V70"/>
      <c r="W70" s="6"/>
      <c r="Z70" s="1"/>
      <c r="AA70" s="1"/>
    </row>
  </sheetData>
  <phoneticPr fontId="2" type="noConversion"/>
  <conditionalFormatting sqref="O1:O70 P71:P1048576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theme="5" tint="0.79998168889431442"/>
      </colorScale>
    </cfRule>
  </conditionalFormatting>
  <conditionalFormatting sqref="I71:I1048576 P1:P70">
    <cfRule type="colorScale" priority="1">
      <colorScale>
        <cfvo type="min"/>
        <cfvo type="percentile" val="50"/>
        <cfvo type="max"/>
        <color theme="5" tint="0.79998168889431442"/>
        <color theme="7" tint="0.79998168889431442"/>
        <color theme="9" tint="0.79998168889431442"/>
      </colorScale>
    </cfRule>
  </conditionalFormatting>
  <pageMargins left="0.7" right="0.7" top="0.75" bottom="0.75" header="0.3" footer="0.3"/>
  <pageSetup paperSize="9" scale="31" orientation="portrait" r:id="rId1"/>
  <headerFooter>
    <oddFooter>&amp;C_x000D_&amp;1#&amp;"Calibri"&amp;10&amp;K000000 Internal use only</oddFooter>
  </headerFooter>
  <colBreaks count="1" manualBreakCount="1">
    <brk id="22" max="1048575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Edgebands</vt:lpstr>
      <vt:lpstr>Edgebands!Druckbereich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Wehrle, Boris</dc:creator>
  <cp:lastModifiedBy>Wehrle, Boris</cp:lastModifiedBy>
  <cp:lastPrinted>2024-12-17T12:15:04Z</cp:lastPrinted>
  <dcterms:created xsi:type="dcterms:W3CDTF">2015-06-05T18:17:20Z</dcterms:created>
  <dcterms:modified xsi:type="dcterms:W3CDTF">2024-12-17T12:50:42Z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  <property fmtid="{D5CDD505-2E9C-101B-9397-08002B2CF9AE}" pid="9" name="MSIP_Label_bf6de623-ba0c-4b2b-a216-a4bd6e5a0b3a_Enabled">
    <vt:lpwstr>true</vt:lpwstr>
  </property>
  <property fmtid="{D5CDD505-2E9C-101B-9397-08002B2CF9AE}" pid="10" name="MSIP_Label_bf6de623-ba0c-4b2b-a216-a4bd6e5a0b3a_SetDate">
    <vt:lpwstr>2024-12-17T12:17:16Z</vt:lpwstr>
  </property>
  <property fmtid="{D5CDD505-2E9C-101B-9397-08002B2CF9AE}" pid="11" name="MSIP_Label_bf6de623-ba0c-4b2b-a216-a4bd6e5a0b3a_Method">
    <vt:lpwstr>Standard</vt:lpwstr>
  </property>
  <property fmtid="{D5CDD505-2E9C-101B-9397-08002B2CF9AE}" pid="12" name="MSIP_Label_bf6de623-ba0c-4b2b-a216-a4bd6e5a0b3a_Name">
    <vt:lpwstr>Internal Information</vt:lpwstr>
  </property>
  <property fmtid="{D5CDD505-2E9C-101B-9397-08002B2CF9AE}" pid="13" name="MSIP_Label_bf6de623-ba0c-4b2b-a216-a4bd6e5a0b3a_SiteId">
    <vt:lpwstr>36515c62-8878-4f10-a7f4-561a4c17bef7</vt:lpwstr>
  </property>
  <property fmtid="{D5CDD505-2E9C-101B-9397-08002B2CF9AE}" pid="14" name="MSIP_Label_bf6de623-ba0c-4b2b-a216-a4bd6e5a0b3a_ActionId">
    <vt:lpwstr>cf340fa9-2f0d-42f9-8e4a-bf0f7acaa4ab</vt:lpwstr>
  </property>
  <property fmtid="{D5CDD505-2E9C-101B-9397-08002B2CF9AE}" pid="15" name="MSIP_Label_bf6de623-ba0c-4b2b-a216-a4bd6e5a0b3a_ContentBits">
    <vt:lpwstr>2</vt:lpwstr>
  </property>
</Properties>
</file>