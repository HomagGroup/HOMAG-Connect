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411C619C-0233-404E-AB09-B9CA30A51276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Edgebands!$A$1:$R$11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9" i="2"/>
  <c r="B10" i="2"/>
  <c r="B11" i="2"/>
  <c r="B3" i="2"/>
  <c r="B4" i="2"/>
  <c r="B5" i="2"/>
  <c r="B6" i="2"/>
  <c r="B8" i="2"/>
  <c r="B7" i="2"/>
  <c r="L2" i="2"/>
  <c r="L9" i="2"/>
  <c r="L10" i="2"/>
  <c r="L11" i="2"/>
  <c r="L3" i="2"/>
  <c r="L4" i="2"/>
  <c r="L5" i="2"/>
  <c r="L6" i="2"/>
  <c r="L8" i="2"/>
  <c r="L7" i="2"/>
  <c r="O2" i="2"/>
  <c r="O9" i="2"/>
  <c r="O10" i="2"/>
  <c r="O11" i="2"/>
  <c r="O3" i="2"/>
  <c r="O4" i="2"/>
  <c r="O5" i="2"/>
  <c r="O6" i="2"/>
  <c r="O8" i="2"/>
  <c r="O7" i="2"/>
  <c r="S2" i="2"/>
  <c r="S9" i="2"/>
  <c r="S10" i="2"/>
  <c r="S11" i="2"/>
  <c r="S3" i="2"/>
  <c r="S4" i="2"/>
  <c r="S5" i="2"/>
  <c r="S6" i="2"/>
  <c r="S8" i="2"/>
  <c r="S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<sst xmlns="http://schemas.openxmlformats.org/spreadsheetml/2006/main" count="4" uniqueCount="4">
  <si>
    <t>Preview</t>
  </si>
  <si>
    <t>QRCode</t>
  </si>
  <si>
    <t>Age (Month)</t>
  </si>
  <si>
    <t>Value / Edgeband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</si>
</sst>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3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E8A4B21-BF2B-4D16-BA90-FB54295D18DD}" autoFormatId="16" applyNumberFormats="0" applyBorderFormats="0" applyFontFormats="0" applyPatternFormats="0" applyAlignmentFormats="0" applyWidthHeightFormats="0">
  <queryTableRefresh nextId="29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13" name="Edgeband last used" tableColumnId="13"/>
      <queryTableField id="23" name="Costs / m" tableColumnId="20"/>
      <queryTableField id="28" dataBound="0" tableColumnId="23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qrserver.com/v1/create-qr-code/?data=ABS_Weiss_2_23_HM%235" TargetMode="External"/><Relationship Id="rId13" Type="http://schemas.openxmlformats.org/officeDocument/2006/relationships/image" Target="../media/image6.0"/><Relationship Id="rId18" Type="http://schemas.openxmlformats.org/officeDocument/2006/relationships/hyperlink" Target="https://api.qrserver.com/v1/create-qr-code/?data=NN_Schwarz_16.50_24.5_HM%2313" TargetMode="External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image" Target="../media/image3.png"/><Relationship Id="rId12" Type="http://schemas.openxmlformats.org/officeDocument/2006/relationships/hyperlink" Target="https://api.qrserver.com/v1/create-qr-code/?data=ABS_A_Dash_of_Freedom_1.00_100.0_HM%237" TargetMode="External"/><Relationship Id="rId17" Type="http://schemas.openxmlformats.org/officeDocument/2006/relationships/image" Target="../media/image8.5"/><Relationship Id="rId25" Type="http://schemas.openxmlformats.org/officeDocument/2006/relationships/image" Target="../media/image12.5"/><Relationship Id="rId2" Type="http://schemas.openxmlformats.org/officeDocument/2006/relationships/hyperlink" Target="https://api.qrserver.com/v1/create-qr-code/?data=ABS_Weiss_2_23_HM%232" TargetMode="External"/><Relationship Id="rId16" Type="http://schemas.openxmlformats.org/officeDocument/2006/relationships/hyperlink" Target="https://api.qrserver.com/v1/create-qr-code/?data=NN_Schwarz_16.50_24.5_HM%236" TargetMode="External"/><Relationship Id="rId20" Type="http://schemas.openxmlformats.org/officeDocument/2006/relationships/hyperlink" Target="https://intellisettingscdn.homag.cloud/820a547d-b2b0-4e0e-9b0f-2533e8310b3e/materials/1e696657-195e-4494-8bd0-eed63075b3ae/Picture/ThumbnailSquare.png?sv=2024-08-04&amp;se=2024-12-13T00%3A00%3A00Z&amp;sr=c&amp;sp=r&amp;sig=AKejL86I9jJb6Ah34RTIukyVMWKI24xRh8WTetwIvBs%3D" TargetMode="External"/><Relationship Id="rId1" Type="http://schemas.openxmlformats.org/officeDocument/2006/relationships/hyperlink" Target="https://api.qrserver.com/v1/create-qr-code/?data=PP_Eiche%20hell_1.3_22_HM%231" TargetMode="External"/><Relationship Id="rId6" Type="http://schemas.openxmlformats.org/officeDocument/2006/relationships/hyperlink" Target="https://api.qrserver.com/v1/create-qr-code/?data=ABS_Weiss_2_23_HM%234" TargetMode="External"/><Relationship Id="rId11" Type="http://schemas.openxmlformats.org/officeDocument/2006/relationships/image" Target="../media/image5.png"/><Relationship Id="rId24" Type="http://schemas.openxmlformats.org/officeDocument/2006/relationships/hyperlink" Target="https://api.qrserver.com/v1/create-qr-code/?data=NN_Schwarz_16.50_24.5_HM%2315" TargetMode="External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23" Type="http://schemas.openxmlformats.org/officeDocument/2006/relationships/image" Target="../media/image11.0"/><Relationship Id="rId10" Type="http://schemas.openxmlformats.org/officeDocument/2006/relationships/hyperlink" Target="https://intellisettingscdn.homag.cloud/820a547d-b2b0-4e0e-9b0f-2533e8310b3e/materials/7a739061-3532-4676-a13b-156e9cb8770d/Picture/ThumbnailSquare.png?sv=2024-08-04&amp;se=2024-12-13T00%3A00%3A00Z&amp;sr=c&amp;sp=r&amp;sig=AKejL86I9jJb6Ah34RTIukyVMWKI24xRh8WTetwIvBs%3D" TargetMode="External"/><Relationship Id="rId19" Type="http://schemas.openxmlformats.org/officeDocument/2006/relationships/image" Target="../media/image9.5"/><Relationship Id="rId4" Type="http://schemas.openxmlformats.org/officeDocument/2006/relationships/hyperlink" Target="https://api.qrserver.com/v1/create-qr-code/?data=ABS_Weiss_2_23_HM%233" TargetMode="External"/><Relationship Id="rId9" Type="http://schemas.openxmlformats.org/officeDocument/2006/relationships/image" Target="../media/image4.png"/><Relationship Id="rId14" Type="http://schemas.openxmlformats.org/officeDocument/2006/relationships/hyperlink" Target="https://intellisettingscdn.homag.cloud/820a547d-b2b0-4e0e-9b0f-2533e8310b3e/materials/c0531413-d0ee-47ca-b3f4-df14d812deb8/Picture/ThumbnailSquare.png?sv=2024-08-04&amp;se=2024-12-13T00%3A00%3A00Z&amp;sr=c&amp;sp=r&amp;sig=AKejL86I9jJb6Ah34RTIukyVMWKI24xRh8WTetwIvBs%3D" TargetMode="External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  <blip r:id="rId5"/>
  </webImageSrd>
  <webImageSrd>
    <address r:id="rId6"/>
    <blip r:id="rId7"/>
  </webImageSrd>
  <webImageSrd>
    <address r:id="rId8"/>
    <blip r:id="rId9"/>
  </webImageSrd>
  <webImageSrd>
    <address r:id="rId10"/>
    <blip r:id="rId11"/>
  </webImageSrd>
  <webImageSrd>
    <address r:id="rId12"/>
    <blip r:id="rId13"/>
  </webImageSrd>
  <webImageSrd>
    <address r:id="rId14"/>
    <blip r:id="rId15"/>
  </webImageSrd>
  <webImageSrd>
    <address r:id="rId16"/>
    <blip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</webImagesSrd>
</file>

<file path=xl/richData/rdrichvalue.xml><?xml version="1.0" encoding="utf-8"?>
<rvData xmlns="http://schemas.microsoft.com/office/spreadsheetml/2017/richdata" count="13">
  <rv s="0">
    <v>-1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1" tableType="queryTable" totalsRowShown="0" headerRowDxfId="20" dataDxfId="19">
  <autoFilter ref="A1:S11" xr:uid="{13F56BAC-8DD8-472F-9DC7-24C60FD18CD8}"/>
  <sortState xmlns:xlrd2="http://schemas.microsoft.com/office/spreadsheetml/2017/richdata2" ref="A2:S11">
    <sortCondition descending="1" ref="L2:L11"/>
    <sortCondition ref="M2:M11"/>
  </sortState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Preview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 category" queryTableFieldId="4" dataDxfId="15"/>
    <tableColumn id="5" xr3:uid="{B24F65AD-81A2-4F5F-B2F5-23B9C1E67DF6}" uniqueName="5" name="Edgeband code" queryTableFieldId="5" dataDxfId="14"/>
    <tableColumn id="6" xr3:uid="{067541D4-C373-46B0-8F5C-C04864283DED}" uniqueName="6" name="Length" queryTableFieldId="6" dataDxfId="13"/>
    <tableColumn id="7" xr3:uid="{64FC45E9-42D7-4323-A48A-AA81794FACEB}" uniqueName="7" name="Height" queryTableFieldId="7" dataDxfId="12"/>
    <tableColumn id="9" xr3:uid="{6B198FD5-A790-4B4C-B757-C16303CB2226}" uniqueName="9" name="Total length" queryTableFieldId="9" dataDxfId="11"/>
    <tableColumn id="10" xr3:uid="{AD6C3C36-BAAF-4DE1-ABF7-E355388E673C}" uniqueName="10" name="Quantity" queryTableFieldId="10" dataDxfId="10"/>
    <tableColumn id="11" xr3:uid="{1BAD892F-BFD3-424F-824C-DBFA2D7C3443}" uniqueName="11" name="Management type" queryTableFieldId="11" dataDxfId="9"/>
    <tableColumn id="12" xr3:uid="{D74FE68F-5076-4D6C-95C9-9EFDD1C2A5E3}" uniqueName="12" name="Creation date" queryTableFieldId="12" dataDxfId="8"/>
    <tableColumn id="18" xr3:uid="{55F5FD47-CB06-4CF3-8EE5-458EA7314137}" uniqueName="18" name="Age (Month)" queryTableFieldId="21" dataDxfId="7">
      <calculatedColumnFormula>DATEDIF(Edgebands[[#This Row],[Creation date]],TODAY(),"M")</calculatedColumnFormula>
    </tableColumn>
    <tableColumn id="13" xr3:uid="{54B657CE-E663-4628-BD8C-89DF050E4E18}" uniqueName="13" name="Edgeband last used" queryTableFieldId="13" dataDxfId="6"/>
    <tableColumn id="20" xr3:uid="{C68325A4-91C4-4F55-957E-2703C56F59A3}" uniqueName="20" name="Costs / m" queryTableFieldId="23" dataDxfId="5"/>
    <tableColumn id="23" xr3:uid="{BB1BA370-D6F6-455F-B467-5AB904F3CBCC}" uniqueName="23" name="Value / Edgeband" queryTableFieldId="28" dataDxfId="4">
      <calculatedColumnFormula>Edgebands[[#This Row],[Length]]*Edgebands[[#This Row],[Costs / m]]</calculatedColumnFormula>
    </tableColumn>
    <tableColumn id="21" xr3:uid="{589E78DE-6ACC-431B-890A-75356A26118C}" uniqueName="21" name="Notes" queryTableFieldId="24" dataDxfId="3"/>
    <tableColumn id="15" xr3:uid="{F3B7864A-FCD0-4C95-AA22-A3CCC39D028C}" uniqueName="15" name="Storage location" queryTableFieldId="15" dataDxfId="2"/>
    <tableColumn id="16" xr3:uid="{232640E8-94DC-4598-A49B-C452265D22E3}" uniqueName="16" name="QR-Code" queryTableFieldId="16" dataDxfId="1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S11"/>
  <sheetViews>
    <sheetView tabSelected="1" topLeftCell="B1" workbookViewId="0">
      <selection activeCell="N1" sqref="N1:N1048576"/>
    </sheetView>
  </sheetViews>
  <sheetFormatPr defaultRowHeight="14.4" x14ac:dyDescent="0.3"/>
  <cols>
    <col min="1" max="1" width="17.77734375" style="1" hidden="1" customWidth="1"/>
    <col min="2" max="2" width="10.21875" style="1" bestFit="1" customWidth="1"/>
    <col min="3" max="3" width="4.88671875" style="1" bestFit="1" customWidth="1"/>
    <col min="4" max="4" width="18.44140625" style="1" bestFit="1" customWidth="1"/>
    <col min="5" max="5" width="37.88671875" style="1" bestFit="1" customWidth="1"/>
    <col min="6" max="6" width="9" style="1" bestFit="1" customWidth="1"/>
    <col min="7" max="7" width="8.88671875" style="1" bestFit="1" customWidth="1"/>
    <col min="8" max="8" width="13.44140625" style="1" bestFit="1" customWidth="1"/>
    <col min="9" max="9" width="10.6640625" style="1" bestFit="1" customWidth="1"/>
    <col min="10" max="10" width="19.33203125" style="1" bestFit="1" customWidth="1"/>
    <col min="11" max="11" width="15.6640625" style="1" bestFit="1" customWidth="1"/>
    <col min="12" max="12" width="16.33203125" style="5" bestFit="1" customWidth="1"/>
    <col min="13" max="13" width="20" style="1" bestFit="1" customWidth="1"/>
    <col min="14" max="14" width="11.109375" style="1" customWidth="1"/>
    <col min="15" max="15" width="20" style="6" bestFit="1" customWidth="1"/>
    <col min="16" max="16" width="48.33203125" style="1" bestFit="1" customWidth="1"/>
    <col min="17" max="17" width="21.33203125" style="1" bestFit="1" customWidth="1"/>
    <col min="18" max="18" width="27.109375" style="1" hidden="1" customWidth="1"/>
    <col min="19" max="19" width="44.5546875" style="1" bestFit="1" customWidth="1"/>
    <col min="20" max="20" width="10.109375" style="1" bestFit="1" customWidth="1"/>
    <col min="21" max="16384" width="8.88671875" style="1"/>
  </cols>
  <sheetData>
    <row r="1" spans="1:19" x14ac:dyDescent="0.3">
      <c r="A1" s="1"/>
      <c r="B1" s="1" t="s">
        <v>0</v>
      </c>
      <c r="C1" s="1"/>
      <c r="D1" s="1"/>
      <c r="E1" s="1"/>
      <c r="F1" s="1"/>
      <c r="G1" s="1"/>
      <c r="H1" s="1"/>
      <c r="I1" s="1"/>
      <c r="J1" s="1"/>
      <c r="K1" s="1"/>
      <c r="L1" s="5" t="s">
        <v>2</v>
      </c>
      <c r="M1" s="1"/>
      <c r="N1" s="1"/>
      <c r="O1" s="6" t="s">
        <v>3</v>
      </c>
      <c r="P1" s="1"/>
      <c r="Q1" s="1"/>
      <c r="R1" s="1"/>
      <c r="S1" s="1" t="s">
        <v>1</v>
      </c>
    </row>
    <row r="2" spans="1:19" ht="91.8" x14ac:dyDescent="0.3">
      <c r="A2" s="4"/>
      <c r="B2" s="7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2"/>
      <c r="L2" s="5">
        <f ca="1">DATEDIF(Edgebands[[#This Row],[Creation date]],TODAY(),"M")</f>
        <v>1</v>
      </c>
      <c r="M2" s="3"/>
      <c r="N2" s="1"/>
      <c r="O2" s="6">
        <f>Edgebands[[#This Row],[Length]]*Edgebands[[#This Row],[Costs / m]]</f>
        <v>37.5</v>
      </c>
      <c r="Q2" s="1"/>
      <c r="R2" s="1"/>
      <c r="S2" s="8" t="e" vm="1">
        <f>IF(Edgebands[[#This Row],[QR-Code]]&lt;&gt;"",_xlfn.IMAGE(Edgebands[[#This Row],[QR-Code]],"",3,100,100),"")</f>
        <v>#VALUE!</v>
      </c>
    </row>
    <row r="3" spans="1:19" ht="91.8" x14ac:dyDescent="0.3">
      <c r="A3" s="4"/>
      <c r="B3" s="7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2"/>
      <c r="L3" s="5">
        <f ca="1">DATEDIF(Edgebands[[#This Row],[Creation date]],TODAY(),"M")</f>
        <v>1</v>
      </c>
      <c r="M3" s="3"/>
      <c r="N3" s="1"/>
      <c r="O3" s="6">
        <f>Edgebands[[#This Row],[Length]]*Edgebands[[#This Row],[Costs / m]]</f>
        <v>42.000000000000007</v>
      </c>
      <c r="Q3" s="1"/>
      <c r="R3" s="1"/>
      <c r="S3" s="8" t="e" vm="2">
        <f>IF(Edgebands[[#This Row],[QR-Code]]&lt;&gt;"",_xlfn.IMAGE(Edgebands[[#This Row],[QR-Code]],"",3,100,100),"")</f>
        <v>#VALUE!</v>
      </c>
    </row>
    <row r="4" spans="1:19" ht="91.8" x14ac:dyDescent="0.3">
      <c r="A4" s="4"/>
      <c r="B4" s="7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2"/>
      <c r="L4" s="5">
        <f ca="1">DATEDIF(Edgebands[[#This Row],[Creation date]],TODAY(),"M")</f>
        <v>1</v>
      </c>
      <c r="M4" s="3"/>
      <c r="N4" s="1"/>
      <c r="O4" s="6">
        <f>Edgebands[[#This Row],[Length]]*Edgebands[[#This Row],[Costs / m]]</f>
        <v>42.000000000000007</v>
      </c>
      <c r="R4" s="1"/>
      <c r="S4" s="8" t="e" vm="3">
        <f>IF(Edgebands[[#This Row],[QR-Code]]&lt;&gt;"",_xlfn.IMAGE(Edgebands[[#This Row],[QR-Code]],"",3,100,100),"")</f>
        <v>#VALUE!</v>
      </c>
    </row>
    <row r="5" spans="1:19" ht="91.8" x14ac:dyDescent="0.3">
      <c r="A5" s="4"/>
      <c r="B5" s="7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2"/>
      <c r="L5" s="5">
        <f ca="1">DATEDIF(Edgebands[[#This Row],[Creation date]],TODAY(),"M")</f>
        <v>1</v>
      </c>
      <c r="M5" s="3"/>
      <c r="N5" s="1"/>
      <c r="O5" s="6">
        <f>Edgebands[[#This Row],[Length]]*Edgebands[[#This Row],[Costs / m]]</f>
        <v>42.000000000000007</v>
      </c>
      <c r="Q5" s="1"/>
      <c r="R5" s="1"/>
      <c r="S5" s="8" t="e" vm="4">
        <f>IF(Edgebands[[#This Row],[QR-Code]]&lt;&gt;"",_xlfn.IMAGE(Edgebands[[#This Row],[QR-Code]],"",3,100,100),"")</f>
        <v>#VALUE!</v>
      </c>
    </row>
    <row r="6" spans="1:19" ht="91.8" x14ac:dyDescent="0.3">
      <c r="A6" s="4"/>
      <c r="B6" s="7" t="str">
        <f>IF(Edgebands[[#This Row],[Thumbnail]]&lt;&gt;"",_xlfn.IMAGE(Edgebands[[#This Row],[Thumbnail]],"",3,100,100),"")</f>
        <v/>
      </c>
      <c r="C6" s="1"/>
      <c r="D6" s="1"/>
      <c r="E6" s="1"/>
      <c r="F6" s="1"/>
      <c r="G6" s="1"/>
      <c r="H6" s="1"/>
      <c r="I6" s="1"/>
      <c r="J6" s="1"/>
      <c r="K6" s="2"/>
      <c r="L6" s="5">
        <f ca="1">DATEDIF(Edgebands[[#This Row],[Creation date]],TODAY(),"M")</f>
        <v>1</v>
      </c>
      <c r="M6" s="3"/>
      <c r="N6" s="1"/>
      <c r="O6" s="6">
        <f>Edgebands[[#This Row],[Length]]*Edgebands[[#This Row],[Costs / m]]</f>
        <v>42.000000000000007</v>
      </c>
      <c r="R6" s="1"/>
      <c r="S6" s="8" t="e" vm="5">
        <f>IF(Edgebands[[#This Row],[QR-Code]]&lt;&gt;"",_xlfn.IMAGE(Edgebands[[#This Row],[QR-Code]],"",3,100,100),"")</f>
        <v>#VALUE!</v>
      </c>
    </row>
    <row r="7" spans="1:19" ht="91.8" x14ac:dyDescent="0.3">
      <c r="A7" s="4"/>
      <c r="B7" s="7" t="e" vm="6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2"/>
      <c r="L7" s="5">
        <f ca="1">DATEDIF(Edgebands[[#This Row],[Creation date]],TODAY(),"M")</f>
        <v>1</v>
      </c>
      <c r="M7" s="3"/>
      <c r="O7" s="6">
        <f>Edgebands[[#This Row],[Length]]*Edgebands[[#This Row],[Costs / m]]</f>
        <v>0</v>
      </c>
      <c r="P7" s="1"/>
      <c r="Q7" s="1"/>
      <c r="R7" s="1"/>
      <c r="S7" s="8" t="e" vm="7">
        <f>IF(Edgebands[[#This Row],[QR-Code]]&lt;&gt;"",_xlfn.IMAGE(Edgebands[[#This Row],[QR-Code]],"",3,100,100),"")</f>
        <v>#VALUE!</v>
      </c>
    </row>
    <row r="8" spans="1:19" ht="91.8" x14ac:dyDescent="0.3">
      <c r="A8" s="4"/>
      <c r="B8" s="7" t="e" vm="8">
        <f>IF(Edgebands[[#This Row],[Thumbnail]]&lt;&gt;"",_xlfn.IMAGE(Edgebands[[#This Row],[Thumbnail]],"",3,100,100),"")</f>
        <v>#VALUE!</v>
      </c>
      <c r="C8" s="1"/>
      <c r="D8" s="1"/>
      <c r="E8" s="1"/>
      <c r="F8" s="1"/>
      <c r="G8" s="1"/>
      <c r="H8" s="1"/>
      <c r="I8" s="1"/>
      <c r="J8" s="1"/>
      <c r="K8" s="2"/>
      <c r="L8" s="5">
        <f ca="1">DATEDIF(Edgebands[[#This Row],[Creation date]],TODAY(),"M")</f>
        <v>1</v>
      </c>
      <c r="M8" s="3"/>
      <c r="O8" s="6">
        <f>Edgebands[[#This Row],[Length]]*Edgebands[[#This Row],[Costs / m]]</f>
        <v>0</v>
      </c>
      <c r="Q8" s="1"/>
      <c r="R8" s="1"/>
      <c r="S8" s="8" t="e" vm="9">
        <f>IF(Edgebands[[#This Row],[QR-Code]]&lt;&gt;"",_xlfn.IMAGE(Edgebands[[#This Row],[QR-Code]],"",3,100,100),"")</f>
        <v>#VALUE!</v>
      </c>
    </row>
    <row r="9" spans="1:19" ht="91.8" x14ac:dyDescent="0.3">
      <c r="A9" s="4"/>
      <c r="B9" s="7" t="e" vm="8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2"/>
      <c r="L9" s="5">
        <f ca="1">DATEDIF(Edgebands[[#This Row],[Creation date]],TODAY(),"M")</f>
        <v>0</v>
      </c>
      <c r="M9" s="3"/>
      <c r="O9" s="6">
        <f>Edgebands[[#This Row],[Length]]*Edgebands[[#This Row],[Costs / m]]</f>
        <v>0</v>
      </c>
      <c r="P9" s="1"/>
      <c r="Q9" s="1"/>
      <c r="R9" s="1"/>
      <c r="S9" s="8" t="e" vm="10">
        <f>IF(Edgebands[[#This Row],[QR-Code]]&lt;&gt;"",_xlfn.IMAGE(Edgebands[[#This Row],[QR-Code]],"",3,100,100),"")</f>
        <v>#VALUE!</v>
      </c>
    </row>
    <row r="10" spans="1:19" ht="91.8" x14ac:dyDescent="0.3">
      <c r="A10" s="4"/>
      <c r="B10" s="7" t="e" vm="11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2"/>
      <c r="L10" s="5">
        <f ca="1">DATEDIF(Edgebands[[#This Row],[Creation date]],TODAY(),"M")</f>
        <v>0</v>
      </c>
      <c r="M10" s="3"/>
      <c r="O10" s="6">
        <f>Edgebands[[#This Row],[Length]]*Edgebands[[#This Row],[Costs / m]]</f>
        <v>0</v>
      </c>
      <c r="P10" s="1"/>
      <c r="Q10" s="1"/>
      <c r="R10" s="1"/>
      <c r="S10" s="8" t="e" vm="12">
        <f>IF(Edgebands[[#This Row],[QR-Code]]&lt;&gt;"",_xlfn.IMAGE(Edgebands[[#This Row],[QR-Code]],"",3,100,100),"")</f>
        <v>#VALUE!</v>
      </c>
    </row>
    <row r="11" spans="1:19" ht="91.8" x14ac:dyDescent="0.3">
      <c r="A11" s="4"/>
      <c r="B11" s="7" t="e" vm="8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2"/>
      <c r="L11" s="5">
        <f ca="1">DATEDIF(Edgebands[[#This Row],[Creation date]],TODAY(),"M")</f>
        <v>0</v>
      </c>
      <c r="M11" s="3"/>
      <c r="O11" s="6">
        <f>Edgebands[[#This Row],[Length]]*Edgebands[[#This Row],[Costs / m]]</f>
        <v>0</v>
      </c>
      <c r="R11" s="1"/>
      <c r="S11" s="8" t="e" vm="13">
        <f>IF(Edgebands[[#This Row],[QR-Code]]&lt;&gt;"",_xlfn.IMAGE(Edgebands[[#This Row],[QR-Code]],"",3,100,100),"")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2024-12-06T12:05:34Z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